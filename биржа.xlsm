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11" i="1"/>
  <c r="Y268" i="1" l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9" i="1" l="1"/>
  <c r="Y10" i="1"/>
  <c r="Y8" i="1" l="1"/>
  <c r="Z68" i="1" l="1"/>
  <c r="Z80" i="1"/>
  <c r="Z69" i="1"/>
  <c r="Z74" i="1"/>
  <c r="Z78" i="1"/>
  <c r="Z82" i="1"/>
  <c r="Z86" i="1"/>
  <c r="Z90" i="1"/>
  <c r="Z94" i="1"/>
  <c r="Z98" i="1"/>
  <c r="Z102" i="1"/>
  <c r="Z106" i="1"/>
  <c r="Z110" i="1"/>
  <c r="Z114" i="1"/>
  <c r="Z118" i="1"/>
  <c r="Z122" i="1"/>
  <c r="Z126" i="1"/>
  <c r="Z130" i="1"/>
  <c r="Z134" i="1"/>
  <c r="Z138" i="1"/>
  <c r="Z142" i="1"/>
  <c r="Z146" i="1"/>
  <c r="Z150" i="1"/>
  <c r="Z154" i="1"/>
  <c r="Z158" i="1"/>
  <c r="Z162" i="1"/>
  <c r="Z166" i="1"/>
  <c r="Z170" i="1"/>
  <c r="Z174" i="1"/>
  <c r="Z178" i="1"/>
  <c r="Z182" i="1"/>
  <c r="Z186" i="1"/>
  <c r="Z190" i="1"/>
  <c r="Z194" i="1"/>
  <c r="Z198" i="1"/>
  <c r="Z202" i="1"/>
  <c r="Z206" i="1"/>
  <c r="Z210" i="1"/>
  <c r="Z214" i="1"/>
  <c r="Z218" i="1"/>
  <c r="Z222" i="1"/>
  <c r="Z226" i="1"/>
  <c r="Z230" i="1"/>
  <c r="Z234" i="1"/>
  <c r="Z238" i="1"/>
  <c r="Z242" i="1"/>
  <c r="Z246" i="1"/>
  <c r="Z250" i="1"/>
  <c r="Z254" i="1"/>
  <c r="Z258" i="1"/>
  <c r="Z262" i="1"/>
  <c r="Z266" i="1"/>
  <c r="Z270" i="1"/>
  <c r="Z274" i="1"/>
  <c r="Z278" i="1"/>
  <c r="Z282" i="1"/>
  <c r="Z286" i="1"/>
  <c r="Z290" i="1"/>
  <c r="Z294" i="1"/>
  <c r="Z298" i="1"/>
  <c r="Z302" i="1"/>
  <c r="Z306" i="1"/>
  <c r="Z310" i="1"/>
  <c r="Z314" i="1"/>
  <c r="Z318" i="1"/>
  <c r="Z322" i="1"/>
  <c r="Z326" i="1"/>
  <c r="Z330" i="1"/>
  <c r="Z334" i="1"/>
  <c r="Z338" i="1"/>
  <c r="Z342" i="1"/>
  <c r="Z346" i="1"/>
  <c r="Z350" i="1"/>
  <c r="Z84" i="1"/>
  <c r="Z184" i="1"/>
  <c r="Z220" i="1"/>
  <c r="Z240" i="1"/>
  <c r="Z252" i="1"/>
  <c r="Z264" i="1"/>
  <c r="Z276" i="1"/>
  <c r="Z288" i="1"/>
  <c r="Z300" i="1"/>
  <c r="Z312" i="1"/>
  <c r="Z324" i="1"/>
  <c r="Z336" i="1"/>
  <c r="Z348" i="1"/>
  <c r="Z70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9" i="1"/>
  <c r="Z243" i="1"/>
  <c r="Z247" i="1"/>
  <c r="Z251" i="1"/>
  <c r="Z255" i="1"/>
  <c r="Z259" i="1"/>
  <c r="Z263" i="1"/>
  <c r="Z271" i="1"/>
  <c r="Z275" i="1"/>
  <c r="Z279" i="1"/>
  <c r="Z283" i="1"/>
  <c r="Z291" i="1"/>
  <c r="Z295" i="1"/>
  <c r="Z343" i="1"/>
  <c r="Z72" i="1"/>
  <c r="Z88" i="1"/>
  <c r="Z92" i="1"/>
  <c r="Z100" i="1"/>
  <c r="Z104" i="1"/>
  <c r="Z112" i="1"/>
  <c r="Z120" i="1"/>
  <c r="Z128" i="1"/>
  <c r="Z136" i="1"/>
  <c r="Z144" i="1"/>
  <c r="Z152" i="1"/>
  <c r="Z160" i="1"/>
  <c r="Z168" i="1"/>
  <c r="Z176" i="1"/>
  <c r="Z188" i="1"/>
  <c r="Z196" i="1"/>
  <c r="Z204" i="1"/>
  <c r="Z212" i="1"/>
  <c r="Z224" i="1"/>
  <c r="Z232" i="1"/>
  <c r="Z244" i="1"/>
  <c r="Z256" i="1"/>
  <c r="Z268" i="1"/>
  <c r="Z280" i="1"/>
  <c r="Z292" i="1"/>
  <c r="Z304" i="1"/>
  <c r="Z316" i="1"/>
  <c r="Z328" i="1"/>
  <c r="Z340" i="1"/>
  <c r="Z352" i="1"/>
  <c r="Z73" i="1"/>
  <c r="Z143" i="1"/>
  <c r="Z235" i="1"/>
  <c r="Z267" i="1"/>
  <c r="Z287" i="1"/>
  <c r="Z299" i="1"/>
  <c r="Z303" i="1"/>
  <c r="Z307" i="1"/>
  <c r="Z311" i="1"/>
  <c r="Z315" i="1"/>
  <c r="Z319" i="1"/>
  <c r="Z323" i="1"/>
  <c r="Z327" i="1"/>
  <c r="Z331" i="1"/>
  <c r="Z335" i="1"/>
  <c r="Z339" i="1"/>
  <c r="Z347" i="1"/>
  <c r="Z351" i="1"/>
  <c r="Z76" i="1"/>
  <c r="Z96" i="1"/>
  <c r="Z108" i="1"/>
  <c r="Z116" i="1"/>
  <c r="Z124" i="1"/>
  <c r="Z132" i="1"/>
  <c r="Z140" i="1"/>
  <c r="Z148" i="1"/>
  <c r="Z156" i="1"/>
  <c r="Z164" i="1"/>
  <c r="Z172" i="1"/>
  <c r="Z180" i="1"/>
  <c r="Z192" i="1"/>
  <c r="Z200" i="1"/>
  <c r="Z208" i="1"/>
  <c r="Z216" i="1"/>
  <c r="Z228" i="1"/>
  <c r="Z236" i="1"/>
  <c r="Z248" i="1"/>
  <c r="Z260" i="1"/>
  <c r="Z272" i="1"/>
  <c r="Z284" i="1"/>
  <c r="Z296" i="1"/>
  <c r="Z308" i="1"/>
  <c r="Z320" i="1"/>
  <c r="Z332" i="1"/>
  <c r="Z344" i="1"/>
  <c r="Z97" i="1"/>
  <c r="Z129" i="1"/>
  <c r="Z161" i="1"/>
  <c r="Z193" i="1"/>
  <c r="Z225" i="1"/>
  <c r="Z257" i="1"/>
  <c r="Z289" i="1"/>
  <c r="Z321" i="1"/>
  <c r="Z217" i="1"/>
  <c r="Z237" i="1"/>
  <c r="Z85" i="1"/>
  <c r="Z117" i="1"/>
  <c r="Z149" i="1"/>
  <c r="Z181" i="1"/>
  <c r="Z213" i="1"/>
  <c r="Z245" i="1"/>
  <c r="Z277" i="1"/>
  <c r="Z309" i="1"/>
  <c r="Z341" i="1"/>
  <c r="Z105" i="1"/>
  <c r="Z137" i="1"/>
  <c r="Z169" i="1"/>
  <c r="Z201" i="1"/>
  <c r="Z233" i="1"/>
  <c r="Z265" i="1"/>
  <c r="Z297" i="1"/>
  <c r="Z329" i="1"/>
  <c r="Z261" i="1"/>
  <c r="Z325" i="1"/>
  <c r="Z121" i="1"/>
  <c r="Z153" i="1"/>
  <c r="Z249" i="1"/>
  <c r="Z109" i="1"/>
  <c r="Z141" i="1"/>
  <c r="Z205" i="1"/>
  <c r="Z301" i="1"/>
  <c r="Z333" i="1"/>
  <c r="Z93" i="1"/>
  <c r="Z125" i="1"/>
  <c r="Z157" i="1"/>
  <c r="Z189" i="1"/>
  <c r="Z221" i="1"/>
  <c r="Z253" i="1"/>
  <c r="Z285" i="1"/>
  <c r="Z317" i="1"/>
  <c r="Z349" i="1"/>
  <c r="Z81" i="1"/>
  <c r="Z113" i="1"/>
  <c r="Z145" i="1"/>
  <c r="Z177" i="1"/>
  <c r="Z209" i="1"/>
  <c r="Z241" i="1"/>
  <c r="Z273" i="1"/>
  <c r="Z305" i="1"/>
  <c r="Z337" i="1"/>
  <c r="Z101" i="1"/>
  <c r="Z133" i="1"/>
  <c r="Z165" i="1"/>
  <c r="Z197" i="1"/>
  <c r="Z229" i="1"/>
  <c r="Z293" i="1"/>
  <c r="Z89" i="1"/>
  <c r="Z185" i="1"/>
  <c r="Z281" i="1"/>
  <c r="Z313" i="1"/>
  <c r="Z345" i="1"/>
  <c r="Z77" i="1"/>
  <c r="Z173" i="1"/>
  <c r="Z269" i="1"/>
  <c r="Z18" i="1"/>
  <c r="Z26" i="1"/>
  <c r="Z34" i="1"/>
  <c r="Z42" i="1"/>
  <c r="Z50" i="1"/>
  <c r="Z58" i="1"/>
  <c r="Z66" i="1"/>
  <c r="Z19" i="1"/>
  <c r="Z27" i="1"/>
  <c r="Z35" i="1"/>
  <c r="Z43" i="1"/>
  <c r="Z51" i="1"/>
  <c r="Z59" i="1"/>
  <c r="Z67" i="1"/>
  <c r="Z65" i="1"/>
  <c r="Z12" i="1"/>
  <c r="Z20" i="1"/>
  <c r="Z28" i="1"/>
  <c r="Z36" i="1"/>
  <c r="Z44" i="1"/>
  <c r="Z52" i="1"/>
  <c r="Z60" i="1"/>
  <c r="Z11" i="1"/>
  <c r="Z13" i="1"/>
  <c r="Z21" i="1"/>
  <c r="Z29" i="1"/>
  <c r="Z37" i="1"/>
  <c r="Z45" i="1"/>
  <c r="Z53" i="1"/>
  <c r="Z61" i="1"/>
  <c r="Z14" i="1"/>
  <c r="Z22" i="1"/>
  <c r="Z30" i="1"/>
  <c r="Z38" i="1"/>
  <c r="Z46" i="1"/>
  <c r="Z54" i="1"/>
  <c r="Z62" i="1"/>
  <c r="Z25" i="1"/>
  <c r="Z41" i="1"/>
  <c r="Z15" i="1"/>
  <c r="Z23" i="1"/>
  <c r="Z31" i="1"/>
  <c r="Z39" i="1"/>
  <c r="Z47" i="1"/>
  <c r="Z55" i="1"/>
  <c r="Z63" i="1"/>
  <c r="Z33" i="1"/>
  <c r="Z49" i="1"/>
  <c r="Z16" i="1"/>
  <c r="Z24" i="1"/>
  <c r="Z32" i="1"/>
  <c r="Z40" i="1"/>
  <c r="Z48" i="1"/>
  <c r="Z56" i="1"/>
  <c r="Z64" i="1"/>
  <c r="Z17" i="1"/>
  <c r="Z57" i="1"/>
  <c r="Z10" i="1" l="1"/>
  <c r="Z8" i="1" s="1"/>
</calcChain>
</file>

<file path=xl/sharedStrings.xml><?xml version="1.0" encoding="utf-8"?>
<sst xmlns="http://schemas.openxmlformats.org/spreadsheetml/2006/main" count="1253" uniqueCount="993">
  <si>
    <t>SUR</t>
  </si>
  <si>
    <t>Башнефть АНК ао</t>
  </si>
  <si>
    <t>Башнефт ао</t>
  </si>
  <si>
    <t>BANE</t>
  </si>
  <si>
    <t>Башнефть АНК ап</t>
  </si>
  <si>
    <t>Башнефт ап</t>
  </si>
  <si>
    <t>BANEP</t>
  </si>
  <si>
    <t>ао ПАО Банк ВТБ</t>
  </si>
  <si>
    <t>ВТБ ао</t>
  </si>
  <si>
    <t>VTBR</t>
  </si>
  <si>
    <t>"Газпром" (ПАО) ао</t>
  </si>
  <si>
    <t>ГАЗПРОМ ао</t>
  </si>
  <si>
    <t>GAZP</t>
  </si>
  <si>
    <t>ГМК "Нор.Никель" ПАО ао</t>
  </si>
  <si>
    <t>ГМКНорНик</t>
  </si>
  <si>
    <t>GMKN</t>
  </si>
  <si>
    <t>Газпром нефть ПАО ао</t>
  </si>
  <si>
    <t>Газпрнефть</t>
  </si>
  <si>
    <t>SIBN</t>
  </si>
  <si>
    <t>ПАО Детский мир</t>
  </si>
  <si>
    <t>ДетскийМир</t>
  </si>
  <si>
    <t>DSKY</t>
  </si>
  <si>
    <t>"Интер РАО" ПАО ао</t>
  </si>
  <si>
    <t>ИнтерРАОао</t>
  </si>
  <si>
    <t>IRAO</t>
  </si>
  <si>
    <t>Группа ЛСР ПАО ао</t>
  </si>
  <si>
    <t>ЛСР ао</t>
  </si>
  <si>
    <t>LSRG</t>
  </si>
  <si>
    <t>НК ЛУКОЙЛ (ПАО) - ао</t>
  </si>
  <si>
    <t>ЛУКОЙЛ</t>
  </si>
  <si>
    <t>LKOH</t>
  </si>
  <si>
    <t>"М.видео" ПАО ао</t>
  </si>
  <si>
    <t>М.видео</t>
  </si>
  <si>
    <t>MVID</t>
  </si>
  <si>
    <t>"МКБ" ПАО ао</t>
  </si>
  <si>
    <t>МКБ ао</t>
  </si>
  <si>
    <t>CBOM</t>
  </si>
  <si>
    <t>"Магнитогорск.мет.комб" ПАО ао</t>
  </si>
  <si>
    <t>ММК</t>
  </si>
  <si>
    <t>MAGN</t>
  </si>
  <si>
    <t>Мобильные ТелеСистемы ПАО ао</t>
  </si>
  <si>
    <t>МТС-ао</t>
  </si>
  <si>
    <t>MTSS</t>
  </si>
  <si>
    <t>"Магнит" ПАО ао</t>
  </si>
  <si>
    <t>Магнит ао</t>
  </si>
  <si>
    <t>MGNT</t>
  </si>
  <si>
    <t>Мечел ПАО ао</t>
  </si>
  <si>
    <t>Мечел ао</t>
  </si>
  <si>
    <t>MTLR</t>
  </si>
  <si>
    <t>Мечел ПАО ап</t>
  </si>
  <si>
    <t>Мечел ап</t>
  </si>
  <si>
    <t>MTLRP</t>
  </si>
  <si>
    <t>ПАО Московская Биржа</t>
  </si>
  <si>
    <t>МосБиржа</t>
  </si>
  <si>
    <t>MOEX</t>
  </si>
  <si>
    <t>ПАО "НЛМК" ао</t>
  </si>
  <si>
    <t>НЛМК ао</t>
  </si>
  <si>
    <t>NLMK</t>
  </si>
  <si>
    <t>ПАО "НОВАТЭК" ао</t>
  </si>
  <si>
    <t>Новатэк ао</t>
  </si>
  <si>
    <t>NVTK</t>
  </si>
  <si>
    <t>ОГК-2 ПАО ао</t>
  </si>
  <si>
    <t>ОГК-2 ао</t>
  </si>
  <si>
    <t>OGKB</t>
  </si>
  <si>
    <t>ПИК СЗ (ПАО) ао</t>
  </si>
  <si>
    <t>ПИК ао</t>
  </si>
  <si>
    <t>PIKK</t>
  </si>
  <si>
    <t>Полюс ПАО ао</t>
  </si>
  <si>
    <t>Полюс</t>
  </si>
  <si>
    <t>PLZL</t>
  </si>
  <si>
    <t>Россети Центр и Приволжье ао</t>
  </si>
  <si>
    <t>РСетиЦП ао</t>
  </si>
  <si>
    <t>MRKP</t>
  </si>
  <si>
    <t>РУСАЛ ОК МКПАО ао</t>
  </si>
  <si>
    <t>РУСАЛ ао</t>
  </si>
  <si>
    <t>RUAL</t>
  </si>
  <si>
    <t>ПАО Распадская ао</t>
  </si>
  <si>
    <t>Распадская</t>
  </si>
  <si>
    <t>RASP</t>
  </si>
  <si>
    <t>ПАО НК Роснефть</t>
  </si>
  <si>
    <t>Роснефть</t>
  </si>
  <si>
    <t>ROSN</t>
  </si>
  <si>
    <t>"ФСК - Россети" ПАО</t>
  </si>
  <si>
    <t>Россети</t>
  </si>
  <si>
    <t>FEES</t>
  </si>
  <si>
    <t>Ростелеком (ПАО) ао.</t>
  </si>
  <si>
    <t>Ростел -ао</t>
  </si>
  <si>
    <t>RTKM</t>
  </si>
  <si>
    <t>Ростелеком (ПАО) ап.</t>
  </si>
  <si>
    <t>Ростел -ап</t>
  </si>
  <si>
    <t>RTKMP</t>
  </si>
  <si>
    <t>ПАО "РусГидро"</t>
  </si>
  <si>
    <t>РусГидро</t>
  </si>
  <si>
    <t>HYDR</t>
  </si>
  <si>
    <t>ГК Самолет ао</t>
  </si>
  <si>
    <t>Самолет ао</t>
  </si>
  <si>
    <t>SMLT</t>
  </si>
  <si>
    <t>Сбербанк России ПАО ао</t>
  </si>
  <si>
    <t>Сбербанк</t>
  </si>
  <si>
    <t>SBER</t>
  </si>
  <si>
    <t>Сбербанк России ПАО ап</t>
  </si>
  <si>
    <t>Сбербанк-п</t>
  </si>
  <si>
    <t>SBERP</t>
  </si>
  <si>
    <t>Северсталь (ПАО)ао</t>
  </si>
  <si>
    <t>СевСт-ао</t>
  </si>
  <si>
    <t>CHMF</t>
  </si>
  <si>
    <t>Сегежа ао</t>
  </si>
  <si>
    <t>Сегежа</t>
  </si>
  <si>
    <t>SGZH</t>
  </si>
  <si>
    <t>АФК "Система" ПАО ао</t>
  </si>
  <si>
    <t>Система ао</t>
  </si>
  <si>
    <t>AFKS</t>
  </si>
  <si>
    <t>Совкомфлот ао</t>
  </si>
  <si>
    <t>Совкомфлот</t>
  </si>
  <si>
    <t>FLOT</t>
  </si>
  <si>
    <t>Сургутнефтегаз ПАО акции об.</t>
  </si>
  <si>
    <t>Сургнфгз</t>
  </si>
  <si>
    <t>SNGS</t>
  </si>
  <si>
    <t>Сургутнефтегаз ПАО ап</t>
  </si>
  <si>
    <t>Сургнфгз-п</t>
  </si>
  <si>
    <t>SNGSP</t>
  </si>
  <si>
    <t>ПАО "Татнефть" ао</t>
  </si>
  <si>
    <t>Татнфт 3ао</t>
  </si>
  <si>
    <t>TATN</t>
  </si>
  <si>
    <t>ПАО "Татнефть" ап 3 вып.</t>
  </si>
  <si>
    <t>Татнфт 3ап</t>
  </si>
  <si>
    <t>TATNP</t>
  </si>
  <si>
    <t>Транснефть ПАО акц.пр.</t>
  </si>
  <si>
    <t>Транснф ап</t>
  </si>
  <si>
    <t>TRNFP</t>
  </si>
  <si>
    <t>ФосАгро ПАО ао</t>
  </si>
  <si>
    <t>ФосАгро ао</t>
  </si>
  <si>
    <t>PHOR</t>
  </si>
  <si>
    <t>"ЭЛ5-Энерго" ПАО</t>
  </si>
  <si>
    <t>ЭЛ5Энер ао</t>
  </si>
  <si>
    <t>ELFV</t>
  </si>
  <si>
    <t>USD</t>
  </si>
  <si>
    <t>МКПАО ЭН+ ГРУП ао</t>
  </si>
  <si>
    <t>ЭН+ГРУП ао</t>
  </si>
  <si>
    <t>ENPG</t>
  </si>
  <si>
    <t>Юнипро ПАО ао</t>
  </si>
  <si>
    <t>Юнипро ао</t>
  </si>
  <si>
    <t>UPRO</t>
  </si>
  <si>
    <t>ПАО "Банк "Санкт-Петербург" ао</t>
  </si>
  <si>
    <t>БСП ао</t>
  </si>
  <si>
    <t>BSPB</t>
  </si>
  <si>
    <t>АЛРОСА ПАО ао</t>
  </si>
  <si>
    <t>АЛРОСА ао</t>
  </si>
  <si>
    <t>ALRS</t>
  </si>
  <si>
    <t>Группа Позитив ао</t>
  </si>
  <si>
    <t>iПозитив</t>
  </si>
  <si>
    <t>POSI</t>
  </si>
  <si>
    <t/>
  </si>
  <si>
    <t>Аэрофлот-росс.авиалин(ПАО)ао</t>
  </si>
  <si>
    <t>Аэрофлот</t>
  </si>
  <si>
    <t>AFLT</t>
  </si>
  <si>
    <t>МосЭнерго акции обыкн.</t>
  </si>
  <si>
    <t>+МосЭнерго</t>
  </si>
  <si>
    <t>MSNG</t>
  </si>
  <si>
    <t>Цена послед.</t>
  </si>
  <si>
    <t>Шаг цены</t>
  </si>
  <si>
    <t>Валюта</t>
  </si>
  <si>
    <t>Инструмент</t>
  </si>
  <si>
    <t>Инструмент сокр.</t>
  </si>
  <si>
    <t>Код инструмента</t>
  </si>
  <si>
    <t>Лот</t>
  </si>
  <si>
    <t>Номинал</t>
  </si>
  <si>
    <t>Точность</t>
  </si>
  <si>
    <t>Цена закр.</t>
  </si>
  <si>
    <t>+МосЭнерго [МБ ФР: Т+ Акции и ДР]</t>
  </si>
  <si>
    <t>AGRO-гдр [МБ ФР: Т+ Акции и ДР]</t>
  </si>
  <si>
    <t>ГДР ROS AGRO PLC ORD SHS</t>
  </si>
  <si>
    <t>AGRO-гдр</t>
  </si>
  <si>
    <t>AGRO</t>
  </si>
  <si>
    <t>CIAN-адр [МБ ФР: Т+ Акции и ДР]</t>
  </si>
  <si>
    <t>АДР Cian PLC ORD SHS</t>
  </si>
  <si>
    <t>CIAN-адр</t>
  </si>
  <si>
    <t>CIAN</t>
  </si>
  <si>
    <t>ETLN-гдр [МБ ФР: Т+ Акции и ДР]</t>
  </si>
  <si>
    <t>ГДР ETALON GROUP PLC ORD SHS</t>
  </si>
  <si>
    <t>ETLN-гдр</t>
  </si>
  <si>
    <t>ETLN</t>
  </si>
  <si>
    <t>FIVE-гдр [МБ ФР: Т+ Акции и ДР]</t>
  </si>
  <si>
    <t>ГДР X5 RetailGroup N.V.ORD SHS</t>
  </si>
  <si>
    <t>FIVE-гдр</t>
  </si>
  <si>
    <t>FIVE</t>
  </si>
  <si>
    <t>FIXP-гдр [МБ ФР: Т+ Акции и ДР]</t>
  </si>
  <si>
    <t>ГДР FixPrice Group PLC ORD SHS</t>
  </si>
  <si>
    <t>FIXP-гдр</t>
  </si>
  <si>
    <t>FIXP</t>
  </si>
  <si>
    <t>GEMC-гдр [МБ ФР: Т+ Акции и ДР]</t>
  </si>
  <si>
    <t>ГДР ЕвроМедЦентр GEMC</t>
  </si>
  <si>
    <t>GEMC-гдр</t>
  </si>
  <si>
    <t>GEMC</t>
  </si>
  <si>
    <t>GLTR-гдр [МБ ФР: Т+ Акции и ДР]</t>
  </si>
  <si>
    <t>ГДР Globaltrans Invest ORD SHS</t>
  </si>
  <si>
    <t>GLTR-гдр</t>
  </si>
  <si>
    <t>GLTR</t>
  </si>
  <si>
    <t>HMSG-гдр [МБ ФР: Т+ Акции и ДР]</t>
  </si>
  <si>
    <t>ГДР Hydraulic M&amp;S Gr ORD SHS</t>
  </si>
  <si>
    <t>HMSG-гдр</t>
  </si>
  <si>
    <t>HMSG</t>
  </si>
  <si>
    <t>MDMG-гдр [МБ ФР: Т+ Акции и ДР]</t>
  </si>
  <si>
    <t>ГДР MD Medical Group Inv. PLC</t>
  </si>
  <si>
    <t>MDMG-гдр</t>
  </si>
  <si>
    <t>MDMG</t>
  </si>
  <si>
    <t>OKEY-гдр [МБ ФР: Т+ Акции и ДР]</t>
  </si>
  <si>
    <t>ГДР OKEY Group S.A. ORD SHS</t>
  </si>
  <si>
    <t>OKEY-гдр</t>
  </si>
  <si>
    <t>OKEY</t>
  </si>
  <si>
    <t>OZON-адр [МБ ФР: Т+ Акции и ДР]</t>
  </si>
  <si>
    <t>АДР Ozon Holdings PLC ORD SHS</t>
  </si>
  <si>
    <t>OZON-адр</t>
  </si>
  <si>
    <t>OZON</t>
  </si>
  <si>
    <t>Polymetal [МБ ФР: Т+ Акции и ДР]</t>
  </si>
  <si>
    <t>GBP</t>
  </si>
  <si>
    <t>Polymetal International plc</t>
  </si>
  <si>
    <t>Polymetal</t>
  </si>
  <si>
    <t>POLY</t>
  </si>
  <si>
    <t>TCS-гдр [МБ ФР: Т+ Акции и ДР]</t>
  </si>
  <si>
    <t>ГДР TCS Group Holding ORD SHS</t>
  </si>
  <si>
    <t>TCS-гдр</t>
  </si>
  <si>
    <t>TCSG</t>
  </si>
  <si>
    <t>VEON [МБ ФР: Т+ Акции и ДР]</t>
  </si>
  <si>
    <t>VEON Ltd. ORD SHS</t>
  </si>
  <si>
    <t>VEON</t>
  </si>
  <si>
    <t>VEON-RX</t>
  </si>
  <si>
    <t>VK-гдр [МБ ФР: Т+ Акции и ДР]</t>
  </si>
  <si>
    <t>ГДР VK Company Limited ORD SHS</t>
  </si>
  <si>
    <t>VK-гдр</t>
  </si>
  <si>
    <t>VKCO</t>
  </si>
  <si>
    <t>Yandex clA [МБ ФР: Т+ Акции и ДР]</t>
  </si>
  <si>
    <t>EUR</t>
  </si>
  <si>
    <t>PLLC Yandex N.V. class A shs</t>
  </si>
  <si>
    <t>Yandex clA</t>
  </si>
  <si>
    <t>YNDX</t>
  </si>
  <si>
    <t>iHHRU-адр [МБ ФР: Т+ Акции и ДР]</t>
  </si>
  <si>
    <t>АДР HeadHunter Group ORD SHS</t>
  </si>
  <si>
    <t>iHHRU-адр</t>
  </si>
  <si>
    <t>HHRU</t>
  </si>
  <si>
    <t>iNVTQ-гдр [МБ ФР: Т+ Акции и ДР]</t>
  </si>
  <si>
    <t>ГДР Noventiq Holdings ORD SHS</t>
  </si>
  <si>
    <t>iNVTQ-гдр</t>
  </si>
  <si>
    <t>SFTL</t>
  </si>
  <si>
    <t>iQIWI [МБ ФР: Т+ Акции и ДР]</t>
  </si>
  <si>
    <t>QIWI PLC</t>
  </si>
  <si>
    <t>iQIWI</t>
  </si>
  <si>
    <t>QIWI</t>
  </si>
  <si>
    <t>iАвиастКао [МБ ФР: Т+ Акции и ДР]</t>
  </si>
  <si>
    <t>Об.авиастр.корп. ПАО ао</t>
  </si>
  <si>
    <t>iАвиастКао</t>
  </si>
  <si>
    <t>UNAC</t>
  </si>
  <si>
    <t>iВУШХолднг [МБ ФР: Т+ Акции и ДР]</t>
  </si>
  <si>
    <t>ВУШ Холдинг ао</t>
  </si>
  <si>
    <t>iВУШХолднг</t>
  </si>
  <si>
    <t>WUSH</t>
  </si>
  <si>
    <t>iИСКЧ ао [МБ ФР: Т+ Акции и ДР]</t>
  </si>
  <si>
    <t>ПАО "ИСКЧ"</t>
  </si>
  <si>
    <t>iИСКЧ ао</t>
  </si>
  <si>
    <t>ISKJ</t>
  </si>
  <si>
    <t>iММЦБ ао [МБ ФР: Т+ Акции и ДР]</t>
  </si>
  <si>
    <t>ПАО ММЦБ ао</t>
  </si>
  <si>
    <t>iММЦБ ао</t>
  </si>
  <si>
    <t>GEMA</t>
  </si>
  <si>
    <t>iНПОНаука [МБ ФР: Т+ Акции и ДР]</t>
  </si>
  <si>
    <t>НПО Наука ао</t>
  </si>
  <si>
    <t>iНПОНаука</t>
  </si>
  <si>
    <t>NAUK</t>
  </si>
  <si>
    <t>iНаукаСвяз [МБ ФР: Т+ Акции и ДР]</t>
  </si>
  <si>
    <t>Наука-Связь ПАО ао</t>
  </si>
  <si>
    <t>iНаукаСвяз</t>
  </si>
  <si>
    <t>NSVZ</t>
  </si>
  <si>
    <t>iПозитив [МБ ФР: Т+ Акции и ДР]</t>
  </si>
  <si>
    <t>iФармсинтз [МБ ФР: Т+ Акции и ДР]</t>
  </si>
  <si>
    <t>Фармсинтез ПАО ао</t>
  </si>
  <si>
    <t>iФармсинтз</t>
  </si>
  <si>
    <t>LIFE</t>
  </si>
  <si>
    <t>АЛРОСА ао [МБ ФР: Т+ Акции и ДР]</t>
  </si>
  <si>
    <t>АСКО ао [МБ ФР: Т+ Акции и ДР]</t>
  </si>
  <si>
    <t>АСКО ПАО ао</t>
  </si>
  <si>
    <t>АСКО ао</t>
  </si>
  <si>
    <t>ACKO</t>
  </si>
  <si>
    <t>АбрауДюрсо [МБ ФР: Т+ Акции и ДР]</t>
  </si>
  <si>
    <t>Абрау-Дюрсо ПАО ао</t>
  </si>
  <si>
    <t>АбрауДюрсо</t>
  </si>
  <si>
    <t>ABRD</t>
  </si>
  <si>
    <t>Авангрд-ао [МБ ФР: Т+ Акции и ДР]</t>
  </si>
  <si>
    <t>АКБ "АВАНГАРД" ПАО ао</t>
  </si>
  <si>
    <t>Авангрд-ао</t>
  </si>
  <si>
    <t>AVAN</t>
  </si>
  <si>
    <t>Акрон [МБ ФР: Т+ Акции и ДР]</t>
  </si>
  <si>
    <t>Акрон ПАО ао</t>
  </si>
  <si>
    <t>Акрон</t>
  </si>
  <si>
    <t>AKRN</t>
  </si>
  <si>
    <t>Аптеки36и6 [МБ ФР: Т+ Акции и ДР]</t>
  </si>
  <si>
    <t>ПАО "Аптечная сеть 36,6" ао</t>
  </si>
  <si>
    <t>Аптеки36и6</t>
  </si>
  <si>
    <t>APTK</t>
  </si>
  <si>
    <t>Арсагера [МБ ФР: Т+ Акции и ДР]</t>
  </si>
  <si>
    <t>УК Арсагера ПАО-ао</t>
  </si>
  <si>
    <t>Арсагера</t>
  </si>
  <si>
    <t>ARSA</t>
  </si>
  <si>
    <t>АстрЭнСб [МБ ФР: Т+ Акции и ДР]</t>
  </si>
  <si>
    <t>"Астраханская ЭСК" ПАО</t>
  </si>
  <si>
    <t>АстрЭнСб</t>
  </si>
  <si>
    <t>ASSB</t>
  </si>
  <si>
    <t>АшинскийМЗ [МБ ФР: Т+ Акции и ДР]</t>
  </si>
  <si>
    <t>Ашинский метзавод ПАО ао</t>
  </si>
  <si>
    <t>АшинскийМЗ</t>
  </si>
  <si>
    <t>AMEZ</t>
  </si>
  <si>
    <t>Аэрофлот [МБ ФР: Т+ Акции и ДР]</t>
  </si>
  <si>
    <t>БСП ао [МБ ФР: Т+ Акции и ДР]</t>
  </si>
  <si>
    <t>БСП ап [МБ ФР: Т+ Акции и ДР]</t>
  </si>
  <si>
    <t>Банк Санкт-Петербург ап</t>
  </si>
  <si>
    <t>БСП ап</t>
  </si>
  <si>
    <t>BSPBP</t>
  </si>
  <si>
    <t>БашИнСв ап [МБ ФР: Т+ Акции и ДР]</t>
  </si>
  <si>
    <t>Башинформсвязь(ПАО) ап</t>
  </si>
  <si>
    <t>БашИнСв ап</t>
  </si>
  <si>
    <t>BISVP</t>
  </si>
  <si>
    <t>Башнефт ао [МБ ФР: Т+ Акции и ДР]</t>
  </si>
  <si>
    <t>Башнефт ап [МБ ФР: Т+ Акции и ДР]</t>
  </si>
  <si>
    <t>Белон ао [МБ ФР: Т+ Акции и ДР]</t>
  </si>
  <si>
    <t>Белон ОАО ао</t>
  </si>
  <si>
    <t>Белон ао</t>
  </si>
  <si>
    <t>BLNG</t>
  </si>
  <si>
    <t>Белуга ао [МБ ФР: Т+ Акции и ДР]</t>
  </si>
  <si>
    <t>Белуга Групп ПАО ао</t>
  </si>
  <si>
    <t>Белуга ао</t>
  </si>
  <si>
    <t>BELU</t>
  </si>
  <si>
    <t>БурЗолото [МБ ФР: Т+ Акции и ДР]</t>
  </si>
  <si>
    <t>Бурятзолото ПАО ао</t>
  </si>
  <si>
    <t>БурЗолото</t>
  </si>
  <si>
    <t>BRZL</t>
  </si>
  <si>
    <t>ВСМПО-АВСМ [МБ ФР: Т+ Акции и ДР]</t>
  </si>
  <si>
    <t>Корп. ВСМПО-АВИСМА (ПАО) ао</t>
  </si>
  <si>
    <t>ВСМПО-АВСМ</t>
  </si>
  <si>
    <t>VSMO</t>
  </si>
  <si>
    <t>ВТБ ао [МБ ФР: Т+ Акции и ДР]</t>
  </si>
  <si>
    <t>ВХЗ-ао [МБ ФР: Т+ Акции и ДР]</t>
  </si>
  <si>
    <t>Владимирский химич.з-д(ПАО) ао</t>
  </si>
  <si>
    <t>ВХЗ-ао</t>
  </si>
  <si>
    <t>VLHZ</t>
  </si>
  <si>
    <t>Варьеган [МБ ФР: Т+ Акции и ДР]</t>
  </si>
  <si>
    <t>ННК-Варьеганнефтегаз ПАО ао</t>
  </si>
  <si>
    <t>Варьеган</t>
  </si>
  <si>
    <t>VJGZ</t>
  </si>
  <si>
    <t>Варьеган-п [МБ ФР: Т+ Акции и ДР]</t>
  </si>
  <si>
    <t>ННК-Варьеганнефтегаз ПАО ап</t>
  </si>
  <si>
    <t>Варьеган-п</t>
  </si>
  <si>
    <t>VJGZP</t>
  </si>
  <si>
    <t>ВолгЭнСб [МБ ФР: Т+ Акции и ДР]</t>
  </si>
  <si>
    <t>"Волгоград.энергосбыткомп" ПАО</t>
  </si>
  <si>
    <t>ВолгЭнСб</t>
  </si>
  <si>
    <t>VGSB</t>
  </si>
  <si>
    <t>ВолгЭнСб-п [МБ ФР: Т+ Акции и ДР]</t>
  </si>
  <si>
    <t>ВолгЭнСб-п</t>
  </si>
  <si>
    <t>VGSBP</t>
  </si>
  <si>
    <t>ВыбСудЗ ао [МБ ФР: Т+ Акции и ДР]</t>
  </si>
  <si>
    <t>Выборгский Суд.Завод ПАО ао</t>
  </si>
  <si>
    <t>ВыбСудЗ ао</t>
  </si>
  <si>
    <t>VSYD</t>
  </si>
  <si>
    <t>ВыбСудЗ ап [МБ ФР: Т+ Акции и ДР]</t>
  </si>
  <si>
    <t>Выборгский Суд.Завод ПАО ап</t>
  </si>
  <si>
    <t>ВыбСудЗ ап</t>
  </si>
  <si>
    <t>VSYDP</t>
  </si>
  <si>
    <t>ГАЗ ао [МБ ФР: Т+ Акции и ДР]</t>
  </si>
  <si>
    <t>ГАЗ ПАО ао</t>
  </si>
  <si>
    <t>ГАЗ ао</t>
  </si>
  <si>
    <t>GAZA</t>
  </si>
  <si>
    <t>ГАЗ ап [МБ ФР: Т+ Акции и ДР]</t>
  </si>
  <si>
    <t>ГАЗ ПАО ап</t>
  </si>
  <si>
    <t>ГАЗ ап</t>
  </si>
  <si>
    <t>GAZAP</t>
  </si>
  <si>
    <t>ГАЗ-Тек ао [МБ ФР: Т+ Акции и ДР]</t>
  </si>
  <si>
    <t>ГАЗ-Тек ПАО ао</t>
  </si>
  <si>
    <t>ГАЗ-Тек ао</t>
  </si>
  <si>
    <t>GAZT</t>
  </si>
  <si>
    <t>ГАЗ-сервис [МБ ФР: Т+ Акции и ДР]</t>
  </si>
  <si>
    <t>ГАЗ-сервис (ПАО) ао</t>
  </si>
  <si>
    <t>ГАЗ-сервис</t>
  </si>
  <si>
    <t>GAZS</t>
  </si>
  <si>
    <t>ГАЗКОН-ао [МБ ФР: Т+ Акции и ДР]</t>
  </si>
  <si>
    <t>ГАЗКОН (ПАО) ао</t>
  </si>
  <si>
    <t>ГАЗКОН-ао</t>
  </si>
  <si>
    <t>GAZC</t>
  </si>
  <si>
    <t>ГАЗПРОМ ао [МБ ФР: Т+ Акции и ДР]</t>
  </si>
  <si>
    <t>ГК РБК ао [МБ ФР: Т+ Акции и ДР]</t>
  </si>
  <si>
    <t>ГК РБК ПАО ао</t>
  </si>
  <si>
    <t>ГК РБК ао</t>
  </si>
  <si>
    <t>RBCM</t>
  </si>
  <si>
    <t>ГМКНорНик [МБ ФР: Т+ Акции и ДР]</t>
  </si>
  <si>
    <t>ГТМ ао [МБ ФР: Т+ Акции и ДР]</t>
  </si>
  <si>
    <t>ПАО "ГТМ" ао</t>
  </si>
  <si>
    <t>ГТМ ао</t>
  </si>
  <si>
    <t>GTRK</t>
  </si>
  <si>
    <t>ГазпРнД ао [МБ ФР: Т+ Акции и ДР]</t>
  </si>
  <si>
    <t>Газпром газорасп Р-н-Д ПАО ао</t>
  </si>
  <si>
    <t>ГазпРнД ао</t>
  </si>
  <si>
    <t>RTGZ</t>
  </si>
  <si>
    <t>Газпрнефть [МБ ФР: Т+ Акции и ДР]</t>
  </si>
  <si>
    <t>ДВМП ао [МБ ФР: Т+ Акции и ДР]</t>
  </si>
  <si>
    <t>ДВ морское пароходство ПАО ао</t>
  </si>
  <si>
    <t>ДВМП ао</t>
  </si>
  <si>
    <t>FESH</t>
  </si>
  <si>
    <t>ДЭК ао [МБ ФР: Т+ Акции и ДР]</t>
  </si>
  <si>
    <t>"ДЭК" ПАО ао</t>
  </si>
  <si>
    <t>ДЭК ао</t>
  </si>
  <si>
    <t>DVEC</t>
  </si>
  <si>
    <t>ДетскийМир [МБ ФР: Т+ Акции и ДР]</t>
  </si>
  <si>
    <t>ДонскЗР [МБ ФР: Т+ Акции и ДР]</t>
  </si>
  <si>
    <t>Донской завод радиодеталей ао</t>
  </si>
  <si>
    <t>ДонскЗР</t>
  </si>
  <si>
    <t>DZRD</t>
  </si>
  <si>
    <t>ДонскЗР п [МБ ФР: Т+ Акции и ДР]</t>
  </si>
  <si>
    <t>Донской завод радиодеталей ап</t>
  </si>
  <si>
    <t>ДонскЗР п</t>
  </si>
  <si>
    <t>DZRDP</t>
  </si>
  <si>
    <t>ЕвроЭлтех [МБ ФР: Т+ Акции и ДР]</t>
  </si>
  <si>
    <t>"ЕвропЭлектротехника" ПАО ао</t>
  </si>
  <si>
    <t>ЕвроЭлтех</t>
  </si>
  <si>
    <t>EELT</t>
  </si>
  <si>
    <t>ЗВЕЗДА ао [МБ ФР: Т+ Акции и ДР]</t>
  </si>
  <si>
    <t>ЗВЕЗДА ПАО ао</t>
  </si>
  <si>
    <t>ЗВЕЗДА ао</t>
  </si>
  <si>
    <t>ZVEZ</t>
  </si>
  <si>
    <t>ЗИЛ ао [МБ ФР: Т+ Акции и ДР]</t>
  </si>
  <si>
    <t>Завод им. И.А.Лихачева ПАО ао</t>
  </si>
  <si>
    <t>ЗИЛ ао</t>
  </si>
  <si>
    <t>ZILL</t>
  </si>
  <si>
    <t>ЗаводДИОД [МБ ФР: Т+ Акции и ДР]</t>
  </si>
  <si>
    <t>Завод ДИОД ПАО ао</t>
  </si>
  <si>
    <t>ЗаводДИОД</t>
  </si>
  <si>
    <t>DIOD</t>
  </si>
  <si>
    <t>ИКРУСС-ИНВ [МБ ФР: Т+ Акции и ДР]</t>
  </si>
  <si>
    <t>РУСС-ИНВЕСТ ИК ПАО ао</t>
  </si>
  <si>
    <t>ИКРУСС-ИНВ</t>
  </si>
  <si>
    <t>RUSI</t>
  </si>
  <si>
    <t>ИНАРКТИКА [МБ ФР: Т+ Акции и ДР]</t>
  </si>
  <si>
    <t>ПАО ИНАРКТИКА</t>
  </si>
  <si>
    <t>ИНАРКТИКА</t>
  </si>
  <si>
    <t>AQUA</t>
  </si>
  <si>
    <t>ИНГРАД ао [МБ ФР: Т+ Акции и ДР]</t>
  </si>
  <si>
    <t>ИНГРАД ПАО ао</t>
  </si>
  <si>
    <t>ИНГРАД ао</t>
  </si>
  <si>
    <t>INGR</t>
  </si>
  <si>
    <t>ИРКУТ-3 [МБ ФР: Т+ Акции и ДР]</t>
  </si>
  <si>
    <t>Корпорация"ИРКУТ" ПАО ак.об.-3</t>
  </si>
  <si>
    <t>ИРКУТ-3</t>
  </si>
  <si>
    <t>IRKT</t>
  </si>
  <si>
    <t>Ижсталь ап [МБ ФР: Т+ Акции и ДР]</t>
  </si>
  <si>
    <t>Ижсталь ПАО ап</t>
  </si>
  <si>
    <t>Ижсталь ап</t>
  </si>
  <si>
    <t>IGSTP</t>
  </si>
  <si>
    <t>Ижсталь2ао [МБ ФР: Т+ Акции и ДР]</t>
  </si>
  <si>
    <t>Ижсталь ПАО ао 2в.</t>
  </si>
  <si>
    <t>Ижсталь2ао</t>
  </si>
  <si>
    <t>IGST</t>
  </si>
  <si>
    <t>ИнтерРАОао [МБ ФР: Т+ Акции и ДР]</t>
  </si>
  <si>
    <t>КАМАЗ [МБ ФР: Т+ Акции и ДР]</t>
  </si>
  <si>
    <t>КАМАЗ ПАО</t>
  </si>
  <si>
    <t>КАМАЗ</t>
  </si>
  <si>
    <t>KMAZ</t>
  </si>
  <si>
    <t>КМЗ [МБ ФР: Т+ Акции и ДР]</t>
  </si>
  <si>
    <t>Ковровский механический завод</t>
  </si>
  <si>
    <t>КМЗ</t>
  </si>
  <si>
    <t>KMEZ</t>
  </si>
  <si>
    <t>КСБ ао [МБ ФР: Т+ Акции и ДР]</t>
  </si>
  <si>
    <t>"Костромск.сбыт.комп" ПАО</t>
  </si>
  <si>
    <t>КСБ ао</t>
  </si>
  <si>
    <t>KTSB</t>
  </si>
  <si>
    <t>КСБ ап [МБ ФР: Т+ Акции и ДР]</t>
  </si>
  <si>
    <t>КСБ ап</t>
  </si>
  <si>
    <t>KTSBP</t>
  </si>
  <si>
    <t>КалужскСК [МБ ФР: Т+ Акции и ДР]</t>
  </si>
  <si>
    <t>ао"Калужская сбыт.комп."ПАО</t>
  </si>
  <si>
    <t>КалужскСК</t>
  </si>
  <si>
    <t>KLSB</t>
  </si>
  <si>
    <t>КамчатЭ ао [МБ ФР: Т+ Акции и ДР]</t>
  </si>
  <si>
    <t>Камчатскэнерго ПАО ао</t>
  </si>
  <si>
    <t>КамчатЭ ао</t>
  </si>
  <si>
    <t>KCHE</t>
  </si>
  <si>
    <t>КамчатЭ ап [МБ ФР: Т+ Акции и ДР]</t>
  </si>
  <si>
    <t>Камчатскэнерго ПАО ап</t>
  </si>
  <si>
    <t>КамчатЭ ап</t>
  </si>
  <si>
    <t>KCHEP</t>
  </si>
  <si>
    <t>КоршГОК ао [МБ ФР: Т+ Акции и ДР]</t>
  </si>
  <si>
    <t>Коршуновский ГОК ПАО ао</t>
  </si>
  <si>
    <t>КоршГОК ао</t>
  </si>
  <si>
    <t>KOGK</t>
  </si>
  <si>
    <t>КосогМЗ ао [МБ ФР: Т+ Акции и ДР]</t>
  </si>
  <si>
    <t>Косогорский метал. завод ПАО</t>
  </si>
  <si>
    <t>КосогМЗ ао</t>
  </si>
  <si>
    <t>KMTZ</t>
  </si>
  <si>
    <t>КрасОкт-1п [МБ ФР: Т+ Акции и ДР]</t>
  </si>
  <si>
    <t>КрасныйОктябрь-1п</t>
  </si>
  <si>
    <t>КрасОкт-1п</t>
  </si>
  <si>
    <t>KROTP</t>
  </si>
  <si>
    <t>КрасОкт-ао [МБ ФР: Т+ Акции и ДР]</t>
  </si>
  <si>
    <t>"КрасныйОктябрь" ПАО - ао</t>
  </si>
  <si>
    <t>КрасОкт-ао</t>
  </si>
  <si>
    <t>KROT</t>
  </si>
  <si>
    <t>Красэсб ао [МБ ФР: Т+ Акции и ДР]</t>
  </si>
  <si>
    <t>Красноярскэнергосбыт ао</t>
  </si>
  <si>
    <t>Красэсб ао</t>
  </si>
  <si>
    <t>KRSB</t>
  </si>
  <si>
    <t>Красэсб ап [МБ ФР: Т+ Акции и ДР]</t>
  </si>
  <si>
    <t>Красноярскэнергосбыт ап</t>
  </si>
  <si>
    <t>Красэсб ап</t>
  </si>
  <si>
    <t>KRSBP</t>
  </si>
  <si>
    <t>КузнецкийБ [МБ ФР: Т+ Акции и ДР]</t>
  </si>
  <si>
    <t>Банк "Кузнецкий" ПАО ао</t>
  </si>
  <si>
    <t>КузнецкийБ</t>
  </si>
  <si>
    <t>KUZB</t>
  </si>
  <si>
    <t>Куйбазот [МБ ФР: Т+ Акции и ДР]</t>
  </si>
  <si>
    <t>Куйбышевазот ПАО ао</t>
  </si>
  <si>
    <t>Куйбазот</t>
  </si>
  <si>
    <t>KAZT</t>
  </si>
  <si>
    <t>Куйбазот-п [МБ ФР: Т+ Акции и ДР]</t>
  </si>
  <si>
    <t>Куйбышевазот ПАО ап</t>
  </si>
  <si>
    <t>Куйбазот-п</t>
  </si>
  <si>
    <t>KAZTP</t>
  </si>
  <si>
    <t>КурганГКао [МБ ФР: Т+ Акции и ДР]</t>
  </si>
  <si>
    <t>Курганская генер.комп.ПАО ао</t>
  </si>
  <si>
    <t>КурганГКао</t>
  </si>
  <si>
    <t>KGKC</t>
  </si>
  <si>
    <t>КурганГКап [МБ ФР: Т+ Акции и ДР]</t>
  </si>
  <si>
    <t>Курганская генер. комп. ПАО ап</t>
  </si>
  <si>
    <t>КурганГКап</t>
  </si>
  <si>
    <t>KGKCP</t>
  </si>
  <si>
    <t>ЛСР ао [МБ ФР: Т+ Акции и ДР]</t>
  </si>
  <si>
    <t>ЛУКОЙЛ [МБ ФР: Т+ Акции и ДР]</t>
  </si>
  <si>
    <t>ЛЭСК ао [МБ ФР: Т+ Акции и ДР]</t>
  </si>
  <si>
    <t>Липецкая энергосбыт.ком.ОАО ао</t>
  </si>
  <si>
    <t>ЛЭСК ао</t>
  </si>
  <si>
    <t>LPSB</t>
  </si>
  <si>
    <t>Левенгук [МБ ФР: Т+ Акции и ДР]</t>
  </si>
  <si>
    <t>Левенгук ПАО ао</t>
  </si>
  <si>
    <t>Левенгук</t>
  </si>
  <si>
    <t>LVHK</t>
  </si>
  <si>
    <t>Лензол. ап [МБ ФР: Т+ Акции и ДР]</t>
  </si>
  <si>
    <t>"Лензолото" ПАО ап</t>
  </si>
  <si>
    <t>Лензол. ап</t>
  </si>
  <si>
    <t>LNZLP</t>
  </si>
  <si>
    <t>Лензолото [МБ ФР: Т+ Акции и ДР]</t>
  </si>
  <si>
    <t>"Лензолото" ПАО ао</t>
  </si>
  <si>
    <t>Лензолото</t>
  </si>
  <si>
    <t>LNZL</t>
  </si>
  <si>
    <t>Лента ао [МБ ФР: Т+ Акции и ДР]</t>
  </si>
  <si>
    <t>Лента МКПАО ао</t>
  </si>
  <si>
    <t>Лента ао</t>
  </si>
  <si>
    <t>LENT</t>
  </si>
  <si>
    <t>М.видео [МБ ФР: Т+ Акции и ДР]</t>
  </si>
  <si>
    <t>МГТС-4ап [МБ ФР: Т+ Акции и ДР]</t>
  </si>
  <si>
    <t>ПАО "МГТС" ап (4 в)</t>
  </si>
  <si>
    <t>МГТС-4ап</t>
  </si>
  <si>
    <t>MGTSP</t>
  </si>
  <si>
    <t>МГТС-5ао [МБ ФР: Т+ Акции и ДР]</t>
  </si>
  <si>
    <t>ПАО "МГТС" ао (5 в)</t>
  </si>
  <si>
    <t>МГТС-5ао</t>
  </si>
  <si>
    <t>MGTS</t>
  </si>
  <si>
    <t>МКБ ао [МБ ФР: Т+ Акции и ДР]</t>
  </si>
  <si>
    <t>ММК [МБ ФР: Т+ Акции и ДР]</t>
  </si>
  <si>
    <t>МРСК Ур [МБ ФР: Т+ Акции и ДР]</t>
  </si>
  <si>
    <t>МРСК Урала (ОАО) ао</t>
  </si>
  <si>
    <t>МРСК Ур</t>
  </si>
  <si>
    <t>MRKU</t>
  </si>
  <si>
    <t>МТС-ао [МБ ФР: Т+ Акции и ДР]</t>
  </si>
  <si>
    <t>МагадЭн ао [МБ ФР: Т+ Акции и ДР]</t>
  </si>
  <si>
    <t>"Магаданэнерго" ПАО ао</t>
  </si>
  <si>
    <t>МагадЭн ао</t>
  </si>
  <si>
    <t>MAGE</t>
  </si>
  <si>
    <t>МагадЭн ап [МБ ФР: Т+ Акции и ДР]</t>
  </si>
  <si>
    <t>"Магаданэнерго" ПАО ап</t>
  </si>
  <si>
    <t>МагадЭн ап</t>
  </si>
  <si>
    <t>MAGEP</t>
  </si>
  <si>
    <t>Магнит ао [МБ ФР: Т+ Акции и ДР]</t>
  </si>
  <si>
    <t>Мегион-ао [МБ ФР: Т+ Акции и ДР]</t>
  </si>
  <si>
    <t>ао "Славнефть-Мегионнефтегаз"</t>
  </si>
  <si>
    <t>Мегион-ао</t>
  </si>
  <si>
    <t>MFGS</t>
  </si>
  <si>
    <t>Мегион-ап [МБ ФР: Т+ Акции и ДР]</t>
  </si>
  <si>
    <t>ап Мегионнефтегаз</t>
  </si>
  <si>
    <t>Мегион-ап</t>
  </si>
  <si>
    <t>MFGSP</t>
  </si>
  <si>
    <t>Мечел ао [МБ ФР: Т+ Акции и ДР]</t>
  </si>
  <si>
    <t>Мечел ап [МБ ФР: Т+ Акции и ДР]</t>
  </si>
  <si>
    <t>МордЭнСб [МБ ФР: Т+ Акции и ДР]</t>
  </si>
  <si>
    <t>Мордовск.энергсбыт.комп.ПАО ао</t>
  </si>
  <si>
    <t>МордЭнСб</t>
  </si>
  <si>
    <t>MRSB</t>
  </si>
  <si>
    <t>МосБиржа [МБ ФР: Т+ Акции и ДР]</t>
  </si>
  <si>
    <t>Мостотрест [МБ ФР: Т+ Акции и ДР]</t>
  </si>
  <si>
    <t>ПАО "МОСТОТРЕСТ" ао</t>
  </si>
  <si>
    <t>Мостотрест</t>
  </si>
  <si>
    <t>MSTT</t>
  </si>
  <si>
    <t>НЕФАЗ [МБ ФР: Т+ Акции и ДР]</t>
  </si>
  <si>
    <t>НЕФАЗ ПАО ао</t>
  </si>
  <si>
    <t>НЕФАЗ</t>
  </si>
  <si>
    <t>NFAZ</t>
  </si>
  <si>
    <t>НКНХ ао [МБ ФР: Т+ Акции и ДР]</t>
  </si>
  <si>
    <t>"Нижнекамскнефтехим" ПАО ао</t>
  </si>
  <si>
    <t>НКНХ ао</t>
  </si>
  <si>
    <t>NKNC</t>
  </si>
  <si>
    <t>НКНХ ап [МБ ФР: Т+ Акции и ДР]</t>
  </si>
  <si>
    <t>"Нижнекамскнефтехим" ПАО ап</t>
  </si>
  <si>
    <t>НКНХ ап</t>
  </si>
  <si>
    <t>NKNCP</t>
  </si>
  <si>
    <t>НКХП ао [МБ ФР: Т+ Акции и ДР]</t>
  </si>
  <si>
    <t>НКХП ПАО ао</t>
  </si>
  <si>
    <t>НКХП ао</t>
  </si>
  <si>
    <t>NKHP</t>
  </si>
  <si>
    <t>НЛМК ао [МБ ФР: Т+ Акции и ДР]</t>
  </si>
  <si>
    <t>НМТП ао [МБ ФР: Т+ Акции и ДР]</t>
  </si>
  <si>
    <t>НМТП (ПАО) ао</t>
  </si>
  <si>
    <t>НМТП ао</t>
  </si>
  <si>
    <t>NMTP</t>
  </si>
  <si>
    <t>Нижкамшина [МБ ФР: Т+ Акции и ДР]</t>
  </si>
  <si>
    <t>Нижнекамскшина ПАО ао</t>
  </si>
  <si>
    <t>Нижкамшина</t>
  </si>
  <si>
    <t>NKSH</t>
  </si>
  <si>
    <t>Новатэк ао [МБ ФР: Т+ Акции и ДР]</t>
  </si>
  <si>
    <t>ОГК-2 ао [МБ ФР: Т+ Акции и ДР]</t>
  </si>
  <si>
    <t>ОКС ао [МБ ФР: Т+ Акции и ДР]</t>
  </si>
  <si>
    <t>ПАО ОКС ао</t>
  </si>
  <si>
    <t>ОКС ао</t>
  </si>
  <si>
    <t>UCSS</t>
  </si>
  <si>
    <t>ОМЗ-ап [МБ ФР: Т+ Акции и ДР]</t>
  </si>
  <si>
    <t>ап"Объединён.  маш. заводы"</t>
  </si>
  <si>
    <t>ОМЗ-ап</t>
  </si>
  <si>
    <t>OMZZP</t>
  </si>
  <si>
    <t>ОргСинт ао [МБ ФР: Т+ Акции и ДР]</t>
  </si>
  <si>
    <t>ПАО "Органический синтез" ао</t>
  </si>
  <si>
    <t>ОргСинт ао</t>
  </si>
  <si>
    <t>KZOS</t>
  </si>
  <si>
    <t>ОргСинт ап [МБ ФР: Т+ Акции и ДР]</t>
  </si>
  <si>
    <t>ПАО "Органический синтез" ап</t>
  </si>
  <si>
    <t>ОргСинт ап</t>
  </si>
  <si>
    <t>KZOSP</t>
  </si>
  <si>
    <t>ПИК ао [МБ ФР: Т+ Акции и ДР]</t>
  </si>
  <si>
    <t>ПавлАвт ао [МБ ФР: Т+ Акции и ДР]</t>
  </si>
  <si>
    <t>Павловский автобус ПАО ао</t>
  </si>
  <si>
    <t>ПавлАвт ао</t>
  </si>
  <si>
    <t>PAZA</t>
  </si>
  <si>
    <t>ПермьЭнС-п [МБ ФР: Т+ Акции и ДР]</t>
  </si>
  <si>
    <t>"Пермэнергосбыт" ПАО ап</t>
  </si>
  <si>
    <t>ПермьЭнС-п</t>
  </si>
  <si>
    <t>PMSBP</t>
  </si>
  <si>
    <t>ПермьЭнСб [МБ ФР: Т+ Акции и ДР]</t>
  </si>
  <si>
    <t>"Пермэнергосбыт" ПАО ао</t>
  </si>
  <si>
    <t>ПермьЭнСб</t>
  </si>
  <si>
    <t>PMSB</t>
  </si>
  <si>
    <t>Полюс [МБ ФР: Т+ Акции и ДР]</t>
  </si>
  <si>
    <t>Приморье [МБ ФР: Т+ Акции и ДР]</t>
  </si>
  <si>
    <t>АКБ "Приморье" ао</t>
  </si>
  <si>
    <t>Приморье</t>
  </si>
  <si>
    <t>PRMB</t>
  </si>
  <si>
    <t>РГС СК ао [МБ ФР: Т+ Акции и ДР]</t>
  </si>
  <si>
    <t>Росгосстрах СК ПАО ао</t>
  </si>
  <si>
    <t>РГС СК ао</t>
  </si>
  <si>
    <t>RGSS</t>
  </si>
  <si>
    <t>РДБанк ао [МБ ФР: Т+ Акции и ДР]</t>
  </si>
  <si>
    <t>РоссийскийДорож Банк ПАО ао</t>
  </si>
  <si>
    <t>РДБанк ао</t>
  </si>
  <si>
    <t>RDRB</t>
  </si>
  <si>
    <t>РН-ЗапСиб [МБ ФР: Т+ Акции и ДР]</t>
  </si>
  <si>
    <t>РН-Западная Сибирь ПАО ао</t>
  </si>
  <si>
    <t>РН-ЗапСиб</t>
  </si>
  <si>
    <t>CHGZ</t>
  </si>
  <si>
    <t>РОСИНТЕРао [МБ ФР: Т+ Акции и ДР]</t>
  </si>
  <si>
    <t>РОСИНТЕР РЕСТОРАНТС (ПАО)</t>
  </si>
  <si>
    <t>РОСИНТЕРао</t>
  </si>
  <si>
    <t>ROST</t>
  </si>
  <si>
    <t>РСетКубань [МБ ФР: Т+ Акции и ДР]</t>
  </si>
  <si>
    <t>"Россети Кубань" ПАО</t>
  </si>
  <si>
    <t>РСетКубань</t>
  </si>
  <si>
    <t>KUBE</t>
  </si>
  <si>
    <t>РСетиЛЭ [МБ ФР: Т+ Акции и ДР]</t>
  </si>
  <si>
    <t>Россети Ленэнерго ПАО-ао</t>
  </si>
  <si>
    <t>РСетиЛЭ</t>
  </si>
  <si>
    <t>LSNG</t>
  </si>
  <si>
    <t>РСетиЛЭ-п [МБ ФР: Т+ Акции и ДР]</t>
  </si>
  <si>
    <t>Россети Ленэнерго ПАО-ап</t>
  </si>
  <si>
    <t>РСетиЛЭ-п</t>
  </si>
  <si>
    <t>LSNGP</t>
  </si>
  <si>
    <t>РСетиМР ао [МБ ФР: Т+ Акции и ДР]</t>
  </si>
  <si>
    <t>ПАО Россети Моск.рег. ао</t>
  </si>
  <si>
    <t>РСетиМР ао</t>
  </si>
  <si>
    <t>MSRS</t>
  </si>
  <si>
    <t>РСетиСЗ ао [МБ ФР: Т+ Акции и ДР]</t>
  </si>
  <si>
    <t>ПАО Россети Северо-Запад ао</t>
  </si>
  <si>
    <t>РСетиСЗ ао</t>
  </si>
  <si>
    <t>MRKZ</t>
  </si>
  <si>
    <t>РСетиЦП ао [МБ ФР: Т+ Акции и ДР]</t>
  </si>
  <si>
    <t>РУСАЛ ао [МБ ФР: Т+ Акции и ДР]</t>
  </si>
  <si>
    <t>Распадская [МБ ФР: Т+ Акции и ДР]</t>
  </si>
  <si>
    <t>Ренессанс [МБ ФР: Т+ Акции и ДР]</t>
  </si>
  <si>
    <t>Ренессанс Страхование ао</t>
  </si>
  <si>
    <t>Ренессанс</t>
  </si>
  <si>
    <t>RENI</t>
  </si>
  <si>
    <t>Росбанк ао [МБ ФР: Т+ Акции и ДР]</t>
  </si>
  <si>
    <t>РОСБАНК ПАО ао</t>
  </si>
  <si>
    <t>Росбанк ао</t>
  </si>
  <si>
    <t>ROSB</t>
  </si>
  <si>
    <t>Роснефть [МБ ФР: Т+ Акции и ДР]</t>
  </si>
  <si>
    <t>РоссЦентр [МБ ФР: Т+ Акции и ДР]</t>
  </si>
  <si>
    <t>ПАО "Россети Центр" ао</t>
  </si>
  <si>
    <t>РоссЦентр</t>
  </si>
  <si>
    <t>MRKC</t>
  </si>
  <si>
    <t>РоссЮг ао [МБ ФР: Т+ Акции и ДР]</t>
  </si>
  <si>
    <t>Россети Юг  (ПАО) ао</t>
  </si>
  <si>
    <t>РоссЮг ао</t>
  </si>
  <si>
    <t>MRKY</t>
  </si>
  <si>
    <t>Россети [МБ ФР: Т+ Акции и ДР]</t>
  </si>
  <si>
    <t>Россети СК [МБ ФР: Т+ Акции и ДР]</t>
  </si>
  <si>
    <t>Россети Сев. Кавказ ао</t>
  </si>
  <si>
    <t>Россети СК</t>
  </si>
  <si>
    <t>MRKK</t>
  </si>
  <si>
    <t>Ростел -ао [МБ ФР: Т+ Акции и ДР]</t>
  </si>
  <si>
    <t>Ростел -ап [МБ ФР: Т+ Акции и ДР]</t>
  </si>
  <si>
    <t>РсетВол ао [МБ ФР: Т+ Акции и ДР]</t>
  </si>
  <si>
    <t>Россети Волга ао</t>
  </si>
  <si>
    <t>РсетВол ао</t>
  </si>
  <si>
    <t>MRKV</t>
  </si>
  <si>
    <t>РсетСиб ао [МБ ФР: Т+ Акции и ДР]</t>
  </si>
  <si>
    <t>Россети Сибирь ао</t>
  </si>
  <si>
    <t>РсетСиб ао</t>
  </si>
  <si>
    <t>MRKS</t>
  </si>
  <si>
    <t>РусГидро [МБ ФР: Т+ Акции и ДР]</t>
  </si>
  <si>
    <t>Русолово [МБ ФР: Т+ Акции и ДР]</t>
  </si>
  <si>
    <t>"Русолово" ПАО ао</t>
  </si>
  <si>
    <t>Русолово</t>
  </si>
  <si>
    <t>ROLO</t>
  </si>
  <si>
    <t>РуссНфт ао [МБ ФР: Т+ Акции и ДР]</t>
  </si>
  <si>
    <t>РуссНефть НК ПАО ао</t>
  </si>
  <si>
    <t>РуссНфт ао</t>
  </si>
  <si>
    <t>RNFT</t>
  </si>
  <si>
    <t>РязЭнСб [МБ ФР: Т+ Акции и ДР]</t>
  </si>
  <si>
    <t>"Рязанская энергосб.комп" ПАО</t>
  </si>
  <si>
    <t>РязЭнСб</t>
  </si>
  <si>
    <t>RZSB</t>
  </si>
  <si>
    <t>СМЗ-ао [МБ ФР: Т+ Акции и ДР]</t>
  </si>
  <si>
    <t>Соликамский магн.завод(ОАО)ао</t>
  </si>
  <si>
    <t>СМЗ-ао</t>
  </si>
  <si>
    <t>MGNZ</t>
  </si>
  <si>
    <t>СОЛЛЕРС [МБ ФР: Т+ Акции и ДР]</t>
  </si>
  <si>
    <t>ПАО "СОЛЛЕРС"</t>
  </si>
  <si>
    <t>СОЛЛЕРС</t>
  </si>
  <si>
    <t>SVAV</t>
  </si>
  <si>
    <t>СПБ Биржа [МБ ФР: Т+ Акции и ДР]</t>
  </si>
  <si>
    <t>СПБ Биржа ао</t>
  </si>
  <si>
    <t>СПБ Биржа</t>
  </si>
  <si>
    <t>SPBE</t>
  </si>
  <si>
    <t>СамарЭн-ао [МБ ФР: Т+ Акции и ДР]</t>
  </si>
  <si>
    <t>Самараэнерго (ПАО) - ао</t>
  </si>
  <si>
    <t>СамарЭн-ао</t>
  </si>
  <si>
    <t>SAGO</t>
  </si>
  <si>
    <t>СамарЭн-ап [МБ ФР: Т+ Акции и ДР]</t>
  </si>
  <si>
    <t>Самараэнерго (ПАО) - ап</t>
  </si>
  <si>
    <t>СамарЭн-ап</t>
  </si>
  <si>
    <t>SAGOP</t>
  </si>
  <si>
    <t>Самолет ао [МБ ФР: Т+ Акции и ДР]</t>
  </si>
  <si>
    <t>СаратНПЗ [МБ ФР: Т+ Акции и ДР]</t>
  </si>
  <si>
    <t>Саратовский НПЗ ПАО ао</t>
  </si>
  <si>
    <t>СаратНПЗ</t>
  </si>
  <si>
    <t>KRKN</t>
  </si>
  <si>
    <t>СаратНПЗ-п [МБ ФР: Т+ Акции и ДР]</t>
  </si>
  <si>
    <t>Саратовский НПЗ ПАО ап</t>
  </si>
  <si>
    <t>СаратНПЗ-п</t>
  </si>
  <si>
    <t>KRKNP</t>
  </si>
  <si>
    <t>СаратЭн-ао [МБ ФР: Т+ Акции и ДР]</t>
  </si>
  <si>
    <t>Саратовэнерго(ПАО)-ао</t>
  </si>
  <si>
    <t>СаратЭн-ао</t>
  </si>
  <si>
    <t>SARE</t>
  </si>
  <si>
    <t>СаратЭн-ап [МБ ФР: Т+ Акции и ДР]</t>
  </si>
  <si>
    <t>Саратовэнерго(ПАО)-ап</t>
  </si>
  <si>
    <t>СаратЭн-ап</t>
  </si>
  <si>
    <t>SAREP</t>
  </si>
  <si>
    <t>Сахэнер ао [МБ ФР: Т+ Акции и ДР]</t>
  </si>
  <si>
    <t>ПАО "Сахалинэнерго" ао</t>
  </si>
  <si>
    <t>Сахэнер ао</t>
  </si>
  <si>
    <t>SLEN</t>
  </si>
  <si>
    <t>Сбербанк [МБ ФР: Т+ Акции и ДР]</t>
  </si>
  <si>
    <t>Сбербанк-п [МБ ФР: Т+ Акции и ДР]</t>
  </si>
  <si>
    <t>Светофор [МБ ФР: Т+ Акции и ДР]</t>
  </si>
  <si>
    <t>Светофор Групп ао</t>
  </si>
  <si>
    <t>Светофор</t>
  </si>
  <si>
    <t>SVET</t>
  </si>
  <si>
    <t>СевСт-ао [МБ ФР: Т+ Акции и ДР]</t>
  </si>
  <si>
    <t>Сегежа [МБ ФР: Т+ Акции и ДР]</t>
  </si>
  <si>
    <t>Селигдар [МБ ФР: Т+ Акции и ДР]</t>
  </si>
  <si>
    <t>ПАО "Селигдар"  ао</t>
  </si>
  <si>
    <t>Селигдар</t>
  </si>
  <si>
    <t>SELG</t>
  </si>
  <si>
    <t>Система ао [МБ ФР: Т+ Акции и ДР]</t>
  </si>
  <si>
    <t>Слав-ЯНОСп [МБ ФР: Т+ Акции и ДР]</t>
  </si>
  <si>
    <t>Славнефть-ЯНОС (ПАО) ап</t>
  </si>
  <si>
    <t>Слав-ЯНОСп</t>
  </si>
  <si>
    <t>JNOSP</t>
  </si>
  <si>
    <t>Славн-ЯНОС [МБ ФР: Т+ Акции и ДР]</t>
  </si>
  <si>
    <t>Славнефть-ЯНОС (ПАО) ао</t>
  </si>
  <si>
    <t>Славн-ЯНОС</t>
  </si>
  <si>
    <t>JNOS</t>
  </si>
  <si>
    <t>Совкомфлот [МБ ФР: Т+ Акции и ДР]</t>
  </si>
  <si>
    <t>СтаврЭнСб [МБ ФР: Т+ Акции и ДР]</t>
  </si>
  <si>
    <t>Ставрополэнергосбыт ПАО ао</t>
  </si>
  <si>
    <t>СтаврЭнСб</t>
  </si>
  <si>
    <t>STSB</t>
  </si>
  <si>
    <t>СтаврЭнСбп [МБ ФР: Т+ Акции и ДР]</t>
  </si>
  <si>
    <t>Ставрополэнергосбыт ПАО ап</t>
  </si>
  <si>
    <t>СтаврЭнСбп</t>
  </si>
  <si>
    <t>STSBP</t>
  </si>
  <si>
    <t>Сургнфгз [МБ ФР: Т+ Акции и ДР]</t>
  </si>
  <si>
    <t>Сургнфгз-п [МБ ФР: Т+ Акции и ДР]</t>
  </si>
  <si>
    <t>ТГК-1 [МБ ФР: Т+ Акции и ДР]</t>
  </si>
  <si>
    <t>ао ПАО "ТГК-1"</t>
  </si>
  <si>
    <t>ТГК-1</t>
  </si>
  <si>
    <t>TGKA</t>
  </si>
  <si>
    <t>ТГК-14 [МБ ФР: Т+ Акции и ДР]</t>
  </si>
  <si>
    <t>ао ПАО "ТГК-14"</t>
  </si>
  <si>
    <t>ТГК-14</t>
  </si>
  <si>
    <t>TGKN</t>
  </si>
  <si>
    <t>ТГК-2 [МБ ФР: Т+ Акции и ДР]</t>
  </si>
  <si>
    <t>ао ПАО "ТГК-2"</t>
  </si>
  <si>
    <t>ТГК-2</t>
  </si>
  <si>
    <t>TGKB</t>
  </si>
  <si>
    <t>ТГК-2 ап [МБ ФР: Т+ Акции и ДР]</t>
  </si>
  <si>
    <t>ап ПАО "ТГК-2"</t>
  </si>
  <si>
    <t>ТГК-2 ап</t>
  </si>
  <si>
    <t>TGKBP</t>
  </si>
  <si>
    <t>ТЗА ао [МБ ФР: Т+ Акции и ДР]</t>
  </si>
  <si>
    <t>Туймаз. завод автобетоновозов</t>
  </si>
  <si>
    <t>ТЗА ао</t>
  </si>
  <si>
    <t>TUZA</t>
  </si>
  <si>
    <t>ТКЗКК ап [МБ ФР: Т+ Акции и ДР]</t>
  </si>
  <si>
    <t>ТКЗ Красный котельщик ПАО ап</t>
  </si>
  <si>
    <t>ТКЗКК ап</t>
  </si>
  <si>
    <t>KRKOP</t>
  </si>
  <si>
    <t>ТМК ао [МБ ФР: Т+ Акции и ДР]</t>
  </si>
  <si>
    <t>ПАО ТМК</t>
  </si>
  <si>
    <t>ТМК ао</t>
  </si>
  <si>
    <t>TRMK</t>
  </si>
  <si>
    <t>ТНСэКубань [МБ ФР: Т+ Акции и ДР]</t>
  </si>
  <si>
    <t>ТНС энерго Кубань ПАО ао</t>
  </si>
  <si>
    <t>ТНСэКубань</t>
  </si>
  <si>
    <t>KBSB</t>
  </si>
  <si>
    <t>ТНСэМаЭл-п [МБ ФР: Т+ Акции и ДР]</t>
  </si>
  <si>
    <t>ТНС энерго Марий Эл ПАО ап</t>
  </si>
  <si>
    <t>ТНСэМаЭл-п</t>
  </si>
  <si>
    <t>MISBP</t>
  </si>
  <si>
    <t>ТНСэнВор-п [МБ ФР: Т+ Акции и ДР]</t>
  </si>
  <si>
    <t>ТНС энерго Воронеж ПАО ап</t>
  </si>
  <si>
    <t>ТНСэнВор-п</t>
  </si>
  <si>
    <t>VRSBP</t>
  </si>
  <si>
    <t>ТНСэнВорон [МБ ФР: Т+ Акции и ДР]</t>
  </si>
  <si>
    <t>ТНС энерго Воронеж ПАО ао</t>
  </si>
  <si>
    <t>ТНСэнВорон</t>
  </si>
  <si>
    <t>VRSB</t>
  </si>
  <si>
    <t>ТНСэнМарЭл [МБ ФР: Т+ Акции и ДР]</t>
  </si>
  <si>
    <t>ТНС энерго Марий Эл ПАО ао</t>
  </si>
  <si>
    <t>ТНСэнМарЭл</t>
  </si>
  <si>
    <t>MISB</t>
  </si>
  <si>
    <t>ТНСэнНН ао [МБ ФР: Т+ Акции и ДР]</t>
  </si>
  <si>
    <t>ТНС энерго Нижний Новг.ПАО ао</t>
  </si>
  <si>
    <t>ТНСэнНН ао</t>
  </si>
  <si>
    <t>NNSB</t>
  </si>
  <si>
    <t>ТНСэнНН ап [МБ ФР: Т+ Акции и ДР]</t>
  </si>
  <si>
    <t>ТНС энерго Нижний Новг.ПАО ап</t>
  </si>
  <si>
    <t>ТНСэнНН ап</t>
  </si>
  <si>
    <t>NNSBP</t>
  </si>
  <si>
    <t>ТНСэнРст [МБ ФР: Т+ Акции и ДР]</t>
  </si>
  <si>
    <t>ТНС энерго Ростов. ПАО ао</t>
  </si>
  <si>
    <t>ТНСэнРст</t>
  </si>
  <si>
    <t>RTSB</t>
  </si>
  <si>
    <t>ТНСэнРст-п [МБ ФР: Т+ Акции и ДР]</t>
  </si>
  <si>
    <t>ТНС энерго Ростов. ПАО ап</t>
  </si>
  <si>
    <t>ТНСэнРст-п</t>
  </si>
  <si>
    <t>RTSBP</t>
  </si>
  <si>
    <t>ТНСэнЯр [МБ ФР: Т+ Акции и ДР]</t>
  </si>
  <si>
    <t>ТНС энерго Ярославль ПАО ао</t>
  </si>
  <si>
    <t>ТНСэнЯр</t>
  </si>
  <si>
    <t>YRSB</t>
  </si>
  <si>
    <t>ТНСэнЯр-п [МБ ФР: Т+ Акции и ДР]</t>
  </si>
  <si>
    <t>ТНС энерго Ярославль ПАО ап</t>
  </si>
  <si>
    <t>ТНСэнЯр-п</t>
  </si>
  <si>
    <t>YRSBP</t>
  </si>
  <si>
    <t>ТНСэнрг ао [МБ ФР: Т+ Акции и ДР]</t>
  </si>
  <si>
    <t>ПАО ГК "ТНС энерго" ао</t>
  </si>
  <si>
    <t>ТНСэнрг ао</t>
  </si>
  <si>
    <t>TNSE</t>
  </si>
  <si>
    <t>ТРК ао [МБ ФР: Т+ Акции и ДР]</t>
  </si>
  <si>
    <t>ао "Томская распределит.комп."</t>
  </si>
  <si>
    <t>ТРК ао</t>
  </si>
  <si>
    <t>TORS</t>
  </si>
  <si>
    <t>ТРК ап [МБ ФР: Т+ Акции и ДР]</t>
  </si>
  <si>
    <t>ап "Томская распределит.комп."</t>
  </si>
  <si>
    <t>ТРК ап</t>
  </si>
  <si>
    <t>TORSP</t>
  </si>
  <si>
    <t>ТамбЭнСб [МБ ФР: Т+ Акции и ДР]</t>
  </si>
  <si>
    <t>ао"Тамбов.энергсбыт.комп."ПАО</t>
  </si>
  <si>
    <t>ТамбЭнСб</t>
  </si>
  <si>
    <t>TASB</t>
  </si>
  <si>
    <t>ТамбЭнСб-п [МБ ФР: Т+ Акции и ДР]</t>
  </si>
  <si>
    <t>ап"Тамбов.энергсбыт.комп."ПАО</t>
  </si>
  <si>
    <t>ТамбЭнСб-п</t>
  </si>
  <si>
    <t>TASBP</t>
  </si>
  <si>
    <t>Татнфт 3ао [МБ ФР: Т+ Акции и ДР]</t>
  </si>
  <si>
    <t>Татнфт 3ап [МБ ФР: Т+ Акции и ДР]</t>
  </si>
  <si>
    <t>Таттел. ао [МБ ФР: Т+ Акции и ДР]</t>
  </si>
  <si>
    <t>"Таттелеком" ПАО ао</t>
  </si>
  <si>
    <t>Таттел. ао</t>
  </si>
  <si>
    <t>TTLK</t>
  </si>
  <si>
    <t>Телеграф [МБ ФР: Т+ Акции и ДР]</t>
  </si>
  <si>
    <t>"Центральный Телеграф" ПАО ао</t>
  </si>
  <si>
    <t>Телеграф</t>
  </si>
  <si>
    <t>CNTL</t>
  </si>
  <si>
    <t>Телеграф-п [МБ ФР: Т+ Акции и ДР]</t>
  </si>
  <si>
    <t>"Центральный Телеграф" ПАО ап</t>
  </si>
  <si>
    <t>Телеграф-п</t>
  </si>
  <si>
    <t>CNTLP</t>
  </si>
  <si>
    <t>Транснф ап [МБ ФР: Т+ Акции и ДР]</t>
  </si>
  <si>
    <t>УрКузница [МБ ФР: Т+ Акции и ДР]</t>
  </si>
  <si>
    <t>ПАО "Уральская кузница" ао</t>
  </si>
  <si>
    <t>УрКузница</t>
  </si>
  <si>
    <t>URKZ</t>
  </si>
  <si>
    <t>УралСиб ао [МБ ФР: Т+ Акции и ДР]</t>
  </si>
  <si>
    <t>БАНК УРАЛСИБ ПАО ао</t>
  </si>
  <si>
    <t>УралСиб ао</t>
  </si>
  <si>
    <t>USBN</t>
  </si>
  <si>
    <t>ФосАгро ао [МБ ФР: Т+ Акции и ДР]</t>
  </si>
  <si>
    <t>Химпром ап [МБ ФР: Т+ Акции и ДР]</t>
  </si>
  <si>
    <t>Химпром ПАО ап</t>
  </si>
  <si>
    <t>Химпром ап</t>
  </si>
  <si>
    <t>HIMCP</t>
  </si>
  <si>
    <t>ЦМТ ао [МБ ФР: Т+ Акции и ДР]</t>
  </si>
  <si>
    <t>"Центр междун. торговли"ПАО ао</t>
  </si>
  <si>
    <t>ЦМТ ао</t>
  </si>
  <si>
    <t>WTCM</t>
  </si>
  <si>
    <t>ЦМТ ап [МБ ФР: Т+ Акции и ДР]</t>
  </si>
  <si>
    <t>"Центр междун. торговли"ПАО ап</t>
  </si>
  <si>
    <t>ЦМТ ап</t>
  </si>
  <si>
    <t>WTCMP</t>
  </si>
  <si>
    <t>ЧКПЗ ао [МБ ФР: Т+ Акции и ДР]</t>
  </si>
  <si>
    <t>"ЧКПЗ" ПАО ао</t>
  </si>
  <si>
    <t>ЧКПЗ ао</t>
  </si>
  <si>
    <t>CHKZ</t>
  </si>
  <si>
    <t>ЧМК ао [МБ ФР: Т+ Акции и ДР]</t>
  </si>
  <si>
    <t>"ЧМК" ПАО ао</t>
  </si>
  <si>
    <t>ЧМК ао</t>
  </si>
  <si>
    <t>CHMK</t>
  </si>
  <si>
    <t>ЧеркизГ-ао [МБ ФР: Т+ Акции и ДР]</t>
  </si>
  <si>
    <t>Группа Черкизово ПАО-ао</t>
  </si>
  <si>
    <t>ЧеркизГ-ао</t>
  </si>
  <si>
    <t>GCHE</t>
  </si>
  <si>
    <t>ЭЛ5Энер ао [МБ ФР: Т+ Акции и ДР]</t>
  </si>
  <si>
    <t>ЭН+ГРУП ао [МБ ФР: Т+ Акции и ДР]</t>
  </si>
  <si>
    <t>Электрцинк [МБ ФР: Т+ Акции и ДР]</t>
  </si>
  <si>
    <t>Электроцинк ПАО ао</t>
  </si>
  <si>
    <t>Электрцинк</t>
  </si>
  <si>
    <t>ELTZ</t>
  </si>
  <si>
    <t>ЭнергияРКК [МБ ФР: Т+ Акции и ДР]</t>
  </si>
  <si>
    <t>РКК Энергия им.С.П.Королева ао</t>
  </si>
  <si>
    <t>ЭнергияРКК</t>
  </si>
  <si>
    <t>RKKE</t>
  </si>
  <si>
    <t>ЭсЭфАй ао [МБ ФР: Т+ Акции и ДР]</t>
  </si>
  <si>
    <t>ЭсЭфАй ПАО ао</t>
  </si>
  <si>
    <t>ЭсЭфАй ао</t>
  </si>
  <si>
    <t>SFIN</t>
  </si>
  <si>
    <t>ЮТэйр ао [МБ ФР: Т+ Акции и ДР]</t>
  </si>
  <si>
    <t>Авиакомания "ЮТэйр" (ПАО) ао</t>
  </si>
  <si>
    <t>ЮТэйр ао</t>
  </si>
  <si>
    <t>UTAR</t>
  </si>
  <si>
    <t>ЮУНК ао [МБ ФР: Т+ Акции и ДР]</t>
  </si>
  <si>
    <t>Южно-Уральский никел. комб. ао</t>
  </si>
  <si>
    <t>ЮУНК ао</t>
  </si>
  <si>
    <t>UNKL</t>
  </si>
  <si>
    <t>ЮжКузб. ао [МБ ФР: Т+ Акции и ДР]</t>
  </si>
  <si>
    <t>Южный Кузбасс ПАО ао</t>
  </si>
  <si>
    <t>ЮжКузб. ао</t>
  </si>
  <si>
    <t>UKUZ</t>
  </si>
  <si>
    <t>Юнипро ао [МБ ФР: Т+ Акции и ДР]</t>
  </si>
  <si>
    <t>ЯТЭК ао [МБ ФР: Т+ Акции и ДР]</t>
  </si>
  <si>
    <t>Якутская топл.-энерг. комп. ао</t>
  </si>
  <si>
    <t>ЯТЭК ао</t>
  </si>
  <si>
    <t>YAKG</t>
  </si>
  <si>
    <t>Якутскэн-п [МБ ФР: Т+ Акции и ДР]</t>
  </si>
  <si>
    <t>АК "Якутскэнерго" (ПАО) ап</t>
  </si>
  <si>
    <t>Якутскэн-п</t>
  </si>
  <si>
    <t>YKENP</t>
  </si>
  <si>
    <t>Якутскэнрг [МБ ФР: Т+ Акции и ДР]</t>
  </si>
  <si>
    <t>АК "Якутскэнерго" (ПАО) ао</t>
  </si>
  <si>
    <t>Якутскэнрг</t>
  </si>
  <si>
    <t>YKEN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</si>
</sst>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0" fontId="0" fillId="0" borderId="0" xfId="0" applyNumberFormat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47625</xdr:rowOff>
        </xdr:from>
        <xdr:to>
          <xdr:col>9</xdr:col>
          <xdr:colOff>409575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I1:Z542"/>
  <sheetViews>
    <sheetView tabSelected="1" topLeftCell="P1" workbookViewId="0">
      <selection activeCell="Y11" sqref="Y11"/>
    </sheetView>
  </sheetViews>
  <sheetFormatPr defaultRowHeight="15" x14ac:dyDescent="0.25"/>
  <cols>
    <col min="1" max="1" width="1.85546875" customWidth="1"/>
    <col min="2" max="9" width="0.5703125" customWidth="1"/>
    <col min="10" max="10" width="44.28515625" customWidth="1"/>
    <col min="25" max="25" width="10.28515625" bestFit="1" customWidth="1"/>
    <col min="26" max="26" width="9.140625" style="3"/>
  </cols>
  <sheetData>
    <row r="1" spans="9:26" x14ac:dyDescent="0.25">
      <c r="Z1" s="3">
        <v>19</v>
      </c>
    </row>
    <row r="2" spans="9:26" x14ac:dyDescent="0.25">
      <c r="Z2" s="3">
        <v>25</v>
      </c>
    </row>
    <row r="3" spans="9:26" x14ac:dyDescent="0.25">
      <c r="Z3" s="3">
        <v>25</v>
      </c>
    </row>
    <row r="4" spans="9:26" x14ac:dyDescent="0.25">
      <c r="Z4" s="3">
        <v>19</v>
      </c>
    </row>
    <row r="5" spans="9:26" x14ac:dyDescent="0.25">
      <c r="Z5" s="3">
        <v>53</v>
      </c>
    </row>
    <row r="6" spans="9:26" x14ac:dyDescent="0.25">
      <c r="Z6" s="3">
        <v>19</v>
      </c>
    </row>
    <row r="7" spans="9:26" x14ac:dyDescent="0.25">
      <c r="Z7" s="3">
        <v>21</v>
      </c>
    </row>
    <row r="8" spans="9:26" x14ac:dyDescent="0.25">
      <c r="X8">
        <v>2</v>
      </c>
      <c r="Y8" s="2">
        <f>MAX(Y9:Y10)</f>
        <v>0</v>
      </c>
      <c r="Z8" s="3" t="e">
        <f>INDEX(J11:J67,Z10,1)</f>
        <v>#VALUE!</v>
      </c>
    </row>
    <row r="9" spans="9:26" x14ac:dyDescent="0.25">
      <c r="Y9" s="2">
        <f>-MIN(Y11:Y67)</f>
        <v>0</v>
      </c>
    </row>
    <row r="10" spans="9:26" x14ac:dyDescent="0.25">
      <c r="J10" t="s">
        <v>152</v>
      </c>
      <c r="K10" t="s">
        <v>159</v>
      </c>
      <c r="L10" t="s">
        <v>160</v>
      </c>
      <c r="M10" t="s">
        <v>161</v>
      </c>
      <c r="N10" t="s">
        <v>162</v>
      </c>
      <c r="O10" t="s">
        <v>163</v>
      </c>
      <c r="P10" t="s">
        <v>164</v>
      </c>
      <c r="Q10" t="s">
        <v>165</v>
      </c>
      <c r="R10" t="s">
        <v>166</v>
      </c>
      <c r="S10" t="s">
        <v>167</v>
      </c>
      <c r="T10" t="s">
        <v>168</v>
      </c>
      <c r="Y10" s="2">
        <f>MAX(Y11:Y67)</f>
        <v>0</v>
      </c>
      <c r="Z10" s="3">
        <f>MAX(Z11:Z67)</f>
        <v>0</v>
      </c>
    </row>
    <row r="11" spans="9:26" x14ac:dyDescent="0.25">
      <c r="I11">
        <v>1</v>
      </c>
      <c r="J11" t="s">
        <v>169</v>
      </c>
      <c r="K11">
        <v>2.3094999999999999</v>
      </c>
      <c r="L11">
        <v>5.0000000000000001E-4</v>
      </c>
      <c r="M11" t="s">
        <v>0</v>
      </c>
      <c r="N11" t="s">
        <v>156</v>
      </c>
      <c r="O11" t="s">
        <v>157</v>
      </c>
      <c r="P11" t="s">
        <v>158</v>
      </c>
      <c r="Q11">
        <v>1000</v>
      </c>
      <c r="R11">
        <v>1</v>
      </c>
      <c r="S11">
        <v>4</v>
      </c>
      <c r="T11">
        <v>2.31</v>
      </c>
      <c r="W11">
        <v>2.3094999999999999</v>
      </c>
      <c r="X11">
        <v>2.3094999999999999</v>
      </c>
      <c r="Y11" s="1">
        <f>IFERROR(ABS((W11-X11)/X11),0)</f>
        <v>0</v>
      </c>
      <c r="Z11" t="str">
        <f>IF($Y$8&gt;0.0009,IF($Y$8=Y11,I11,""),"")</f>
        <v/>
      </c>
    </row>
    <row r="12" spans="9:26" x14ac:dyDescent="0.25">
      <c r="I12">
        <v>2</v>
      </c>
      <c r="J12" t="s">
        <v>170</v>
      </c>
      <c r="K12">
        <v>725.6</v>
      </c>
      <c r="L12">
        <v>0.2</v>
      </c>
      <c r="M12" t="s">
        <v>136</v>
      </c>
      <c r="N12" t="s">
        <v>171</v>
      </c>
      <c r="O12" t="s">
        <v>172</v>
      </c>
      <c r="P12" t="s">
        <v>173</v>
      </c>
      <c r="Q12">
        <v>1</v>
      </c>
      <c r="R12" t="s">
        <v>152</v>
      </c>
      <c r="S12">
        <v>1</v>
      </c>
      <c r="T12">
        <v>719</v>
      </c>
      <c r="W12">
        <v>725.6</v>
      </c>
      <c r="X12">
        <v>725.6</v>
      </c>
      <c r="Y12" s="1">
        <f t="shared" ref="Y12:Y75" si="0">IFERROR(ABS((W12-X12)/X12),0)</f>
        <v>0</v>
      </c>
      <c r="Z12" t="str">
        <f t="shared" ref="Z12:Z67" si="1">IF($Y$8&gt;0.0009,IF($Y$8=Y12,I12,""),"")</f>
        <v/>
      </c>
    </row>
    <row r="13" spans="9:26" x14ac:dyDescent="0.25">
      <c r="I13">
        <v>3</v>
      </c>
      <c r="J13" t="s">
        <v>174</v>
      </c>
      <c r="K13">
        <v>482.6</v>
      </c>
      <c r="L13">
        <v>0.2</v>
      </c>
      <c r="M13" t="s">
        <v>0</v>
      </c>
      <c r="N13" t="s">
        <v>175</v>
      </c>
      <c r="O13" t="s">
        <v>176</v>
      </c>
      <c r="P13" t="s">
        <v>177</v>
      </c>
      <c r="Q13">
        <v>1</v>
      </c>
      <c r="R13" t="s">
        <v>152</v>
      </c>
      <c r="S13">
        <v>1</v>
      </c>
      <c r="T13">
        <v>489</v>
      </c>
      <c r="W13">
        <v>482.6</v>
      </c>
      <c r="X13">
        <v>482.6</v>
      </c>
      <c r="Y13" s="1">
        <f t="shared" si="0"/>
        <v>0</v>
      </c>
      <c r="Z13" t="str">
        <f t="shared" si="1"/>
        <v/>
      </c>
    </row>
    <row r="14" spans="9:26" x14ac:dyDescent="0.25">
      <c r="I14">
        <v>4</v>
      </c>
      <c r="J14" t="s">
        <v>178</v>
      </c>
      <c r="K14">
        <v>60.78</v>
      </c>
      <c r="L14">
        <v>0.02</v>
      </c>
      <c r="M14" t="s">
        <v>136</v>
      </c>
      <c r="N14" t="s">
        <v>179</v>
      </c>
      <c r="O14" t="s">
        <v>180</v>
      </c>
      <c r="P14" t="s">
        <v>181</v>
      </c>
      <c r="Q14">
        <v>1</v>
      </c>
      <c r="R14" t="s">
        <v>152</v>
      </c>
      <c r="S14">
        <v>2</v>
      </c>
      <c r="T14">
        <v>60.42</v>
      </c>
      <c r="W14">
        <v>60.78</v>
      </c>
      <c r="X14">
        <v>60.78</v>
      </c>
      <c r="Y14" s="1">
        <f t="shared" si="0"/>
        <v>0</v>
      </c>
      <c r="Z14" t="str">
        <f t="shared" si="1"/>
        <v/>
      </c>
    </row>
    <row r="15" spans="9:26" x14ac:dyDescent="0.25">
      <c r="I15">
        <v>5</v>
      </c>
      <c r="J15" t="s">
        <v>182</v>
      </c>
      <c r="K15">
        <v>1411</v>
      </c>
      <c r="L15">
        <v>0.5</v>
      </c>
      <c r="M15" t="s">
        <v>136</v>
      </c>
      <c r="N15" t="s">
        <v>183</v>
      </c>
      <c r="O15" t="s">
        <v>184</v>
      </c>
      <c r="P15" t="s">
        <v>185</v>
      </c>
      <c r="Q15">
        <v>1</v>
      </c>
      <c r="R15" t="s">
        <v>152</v>
      </c>
      <c r="S15">
        <v>1</v>
      </c>
      <c r="T15">
        <v>1410</v>
      </c>
      <c r="W15">
        <v>1411</v>
      </c>
      <c r="X15">
        <v>1411</v>
      </c>
      <c r="Y15" s="1">
        <f t="shared" si="0"/>
        <v>0</v>
      </c>
      <c r="Z15" t="str">
        <f t="shared" si="1"/>
        <v/>
      </c>
    </row>
    <row r="16" spans="9:26" x14ac:dyDescent="0.25">
      <c r="I16">
        <v>6</v>
      </c>
      <c r="J16" t="s">
        <v>186</v>
      </c>
      <c r="K16">
        <v>351.9</v>
      </c>
      <c r="L16">
        <v>0.1</v>
      </c>
      <c r="M16" t="s">
        <v>136</v>
      </c>
      <c r="N16" t="s">
        <v>187</v>
      </c>
      <c r="O16" t="s">
        <v>188</v>
      </c>
      <c r="P16" t="s">
        <v>189</v>
      </c>
      <c r="Q16">
        <v>1</v>
      </c>
      <c r="R16" t="s">
        <v>152</v>
      </c>
      <c r="S16">
        <v>1</v>
      </c>
      <c r="T16">
        <v>351.1</v>
      </c>
      <c r="W16">
        <v>351.9</v>
      </c>
      <c r="X16">
        <v>351.9</v>
      </c>
      <c r="Y16" s="1">
        <f t="shared" si="0"/>
        <v>0</v>
      </c>
      <c r="Z16" t="str">
        <f t="shared" si="1"/>
        <v/>
      </c>
    </row>
    <row r="17" spans="9:26" x14ac:dyDescent="0.25">
      <c r="I17">
        <v>7</v>
      </c>
      <c r="J17" t="s">
        <v>190</v>
      </c>
      <c r="K17">
        <v>404.4</v>
      </c>
      <c r="L17">
        <v>0.1</v>
      </c>
      <c r="M17" t="s">
        <v>0</v>
      </c>
      <c r="N17" t="s">
        <v>191</v>
      </c>
      <c r="O17" t="s">
        <v>192</v>
      </c>
      <c r="P17" t="s">
        <v>193</v>
      </c>
      <c r="Q17">
        <v>1</v>
      </c>
      <c r="R17" t="s">
        <v>152</v>
      </c>
      <c r="S17">
        <v>1</v>
      </c>
      <c r="T17">
        <v>406.6</v>
      </c>
      <c r="W17">
        <v>404.4</v>
      </c>
      <c r="X17">
        <v>404.4</v>
      </c>
      <c r="Y17" s="1">
        <f t="shared" si="0"/>
        <v>0</v>
      </c>
      <c r="Z17" t="str">
        <f t="shared" si="1"/>
        <v/>
      </c>
    </row>
    <row r="18" spans="9:26" x14ac:dyDescent="0.25">
      <c r="I18">
        <v>8</v>
      </c>
      <c r="J18" t="s">
        <v>194</v>
      </c>
      <c r="K18">
        <v>451.35</v>
      </c>
      <c r="L18">
        <v>0.05</v>
      </c>
      <c r="M18" t="s">
        <v>136</v>
      </c>
      <c r="N18" t="s">
        <v>195</v>
      </c>
      <c r="O18" t="s">
        <v>196</v>
      </c>
      <c r="P18" t="s">
        <v>197</v>
      </c>
      <c r="Q18">
        <v>1</v>
      </c>
      <c r="R18" t="s">
        <v>152</v>
      </c>
      <c r="S18">
        <v>2</v>
      </c>
      <c r="T18">
        <v>453.45</v>
      </c>
      <c r="W18">
        <v>451.35</v>
      </c>
      <c r="X18">
        <v>451.35</v>
      </c>
      <c r="Y18" s="1">
        <f t="shared" si="0"/>
        <v>0</v>
      </c>
      <c r="Z18" t="str">
        <f t="shared" si="1"/>
        <v/>
      </c>
    </row>
    <row r="19" spans="9:26" x14ac:dyDescent="0.25">
      <c r="I19">
        <v>9</v>
      </c>
      <c r="J19" t="s">
        <v>198</v>
      </c>
      <c r="K19">
        <v>110</v>
      </c>
      <c r="L19">
        <v>0.5</v>
      </c>
      <c r="M19" t="s">
        <v>0</v>
      </c>
      <c r="N19" t="s">
        <v>199</v>
      </c>
      <c r="O19" t="s">
        <v>200</v>
      </c>
      <c r="P19" t="s">
        <v>201</v>
      </c>
      <c r="Q19">
        <v>10</v>
      </c>
      <c r="R19" t="s">
        <v>152</v>
      </c>
      <c r="S19">
        <v>1</v>
      </c>
      <c r="T19">
        <v>108</v>
      </c>
      <c r="W19">
        <v>110</v>
      </c>
      <c r="X19">
        <v>110</v>
      </c>
      <c r="Y19" s="1">
        <f t="shared" si="0"/>
        <v>0</v>
      </c>
      <c r="Z19" t="str">
        <f t="shared" si="1"/>
        <v/>
      </c>
    </row>
    <row r="20" spans="9:26" x14ac:dyDescent="0.25">
      <c r="I20">
        <v>10</v>
      </c>
      <c r="J20" t="s">
        <v>202</v>
      </c>
      <c r="K20">
        <v>531.5</v>
      </c>
      <c r="L20">
        <v>0.1</v>
      </c>
      <c r="M20" t="s">
        <v>136</v>
      </c>
      <c r="N20" t="s">
        <v>203</v>
      </c>
      <c r="O20" t="s">
        <v>204</v>
      </c>
      <c r="P20" t="s">
        <v>205</v>
      </c>
      <c r="Q20">
        <v>1</v>
      </c>
      <c r="R20" t="s">
        <v>152</v>
      </c>
      <c r="S20">
        <v>1</v>
      </c>
      <c r="T20">
        <v>527</v>
      </c>
      <c r="W20">
        <v>531.5</v>
      </c>
      <c r="X20">
        <v>531.5</v>
      </c>
      <c r="Y20" s="1">
        <f t="shared" si="0"/>
        <v>0</v>
      </c>
      <c r="Z20" t="str">
        <f t="shared" si="1"/>
        <v/>
      </c>
    </row>
    <row r="21" spans="9:26" x14ac:dyDescent="0.25">
      <c r="I21">
        <v>11</v>
      </c>
      <c r="J21" t="s">
        <v>206</v>
      </c>
      <c r="K21">
        <v>30.26</v>
      </c>
      <c r="L21">
        <v>0.01</v>
      </c>
      <c r="M21" t="s">
        <v>136</v>
      </c>
      <c r="N21" t="s">
        <v>207</v>
      </c>
      <c r="O21" t="s">
        <v>208</v>
      </c>
      <c r="P21" t="s">
        <v>209</v>
      </c>
      <c r="Q21">
        <v>10</v>
      </c>
      <c r="R21" t="s">
        <v>152</v>
      </c>
      <c r="S21">
        <v>2</v>
      </c>
      <c r="T21">
        <v>30.1</v>
      </c>
      <c r="W21">
        <v>30.26</v>
      </c>
      <c r="X21">
        <v>30.26</v>
      </c>
      <c r="Y21" s="1">
        <f t="shared" si="0"/>
        <v>0</v>
      </c>
      <c r="Z21" t="str">
        <f t="shared" si="1"/>
        <v/>
      </c>
    </row>
    <row r="22" spans="9:26" x14ac:dyDescent="0.25">
      <c r="I22">
        <v>12</v>
      </c>
      <c r="J22" t="s">
        <v>210</v>
      </c>
      <c r="K22">
        <v>1739.5</v>
      </c>
      <c r="L22">
        <v>0.5</v>
      </c>
      <c r="M22" t="s">
        <v>136</v>
      </c>
      <c r="N22" t="s">
        <v>211</v>
      </c>
      <c r="O22" t="s">
        <v>212</v>
      </c>
      <c r="P22" t="s">
        <v>213</v>
      </c>
      <c r="Q22">
        <v>1</v>
      </c>
      <c r="R22" t="s">
        <v>152</v>
      </c>
      <c r="S22">
        <v>1</v>
      </c>
      <c r="T22">
        <v>1753.5</v>
      </c>
      <c r="W22">
        <v>1739.5</v>
      </c>
      <c r="X22">
        <v>1739.5</v>
      </c>
      <c r="Y22" s="1">
        <f t="shared" si="0"/>
        <v>0</v>
      </c>
      <c r="Z22" t="str">
        <f t="shared" si="1"/>
        <v/>
      </c>
    </row>
    <row r="23" spans="9:26" x14ac:dyDescent="0.25">
      <c r="I23">
        <v>13</v>
      </c>
      <c r="J23" t="s">
        <v>214</v>
      </c>
      <c r="K23">
        <v>585.5</v>
      </c>
      <c r="L23">
        <v>0.1</v>
      </c>
      <c r="M23" t="s">
        <v>215</v>
      </c>
      <c r="N23" t="s">
        <v>216</v>
      </c>
      <c r="O23" t="s">
        <v>217</v>
      </c>
      <c r="P23" t="s">
        <v>218</v>
      </c>
      <c r="Q23">
        <v>1</v>
      </c>
      <c r="R23" t="s">
        <v>152</v>
      </c>
      <c r="S23">
        <v>1</v>
      </c>
      <c r="T23">
        <v>582.1</v>
      </c>
      <c r="W23">
        <v>585.5</v>
      </c>
      <c r="X23">
        <v>585.5</v>
      </c>
      <c r="Y23" s="1">
        <f t="shared" si="0"/>
        <v>0</v>
      </c>
      <c r="Z23" t="str">
        <f t="shared" si="1"/>
        <v/>
      </c>
    </row>
    <row r="24" spans="9:26" x14ac:dyDescent="0.25">
      <c r="I24">
        <v>14</v>
      </c>
      <c r="J24" t="s">
        <v>219</v>
      </c>
      <c r="K24">
        <v>2503.5</v>
      </c>
      <c r="L24">
        <v>0.5</v>
      </c>
      <c r="M24" t="s">
        <v>136</v>
      </c>
      <c r="N24" t="s">
        <v>220</v>
      </c>
      <c r="O24" t="s">
        <v>221</v>
      </c>
      <c r="P24" t="s">
        <v>222</v>
      </c>
      <c r="Q24">
        <v>1</v>
      </c>
      <c r="R24" t="s">
        <v>152</v>
      </c>
      <c r="S24">
        <v>1</v>
      </c>
      <c r="T24">
        <v>2499</v>
      </c>
      <c r="W24">
        <v>2503.5</v>
      </c>
      <c r="X24">
        <v>2503.5</v>
      </c>
      <c r="Y24" s="1">
        <f t="shared" si="0"/>
        <v>0</v>
      </c>
      <c r="Z24" t="str">
        <f t="shared" si="1"/>
        <v/>
      </c>
    </row>
    <row r="25" spans="9:26" x14ac:dyDescent="0.25">
      <c r="I25">
        <v>15</v>
      </c>
      <c r="J25" t="s">
        <v>223</v>
      </c>
      <c r="K25">
        <v>41.7</v>
      </c>
      <c r="L25">
        <v>0.05</v>
      </c>
      <c r="M25" t="s">
        <v>136</v>
      </c>
      <c r="N25" t="s">
        <v>224</v>
      </c>
      <c r="O25" t="s">
        <v>225</v>
      </c>
      <c r="P25" t="s">
        <v>226</v>
      </c>
      <c r="Q25">
        <v>10</v>
      </c>
      <c r="R25">
        <v>1E-3</v>
      </c>
      <c r="S25">
        <v>2</v>
      </c>
      <c r="T25">
        <v>41.6</v>
      </c>
      <c r="W25">
        <v>41.7</v>
      </c>
      <c r="X25">
        <v>41.7</v>
      </c>
      <c r="Y25" s="1">
        <f t="shared" si="0"/>
        <v>0</v>
      </c>
      <c r="Z25" t="str">
        <f t="shared" si="1"/>
        <v/>
      </c>
    </row>
    <row r="26" spans="9:26" x14ac:dyDescent="0.25">
      <c r="I26">
        <v>16</v>
      </c>
      <c r="J26" t="s">
        <v>227</v>
      </c>
      <c r="K26">
        <v>463.4</v>
      </c>
      <c r="L26">
        <v>0.2</v>
      </c>
      <c r="M26" t="s">
        <v>136</v>
      </c>
      <c r="N26" t="s">
        <v>228</v>
      </c>
      <c r="O26" t="s">
        <v>229</v>
      </c>
      <c r="P26" t="s">
        <v>230</v>
      </c>
      <c r="Q26">
        <v>1</v>
      </c>
      <c r="R26" t="s">
        <v>152</v>
      </c>
      <c r="S26">
        <v>1</v>
      </c>
      <c r="T26">
        <v>464</v>
      </c>
      <c r="W26">
        <v>463.4</v>
      </c>
      <c r="X26">
        <v>463.4</v>
      </c>
      <c r="Y26" s="1">
        <f t="shared" si="0"/>
        <v>0</v>
      </c>
      <c r="Z26" t="str">
        <f t="shared" si="1"/>
        <v/>
      </c>
    </row>
    <row r="27" spans="9:26" x14ac:dyDescent="0.25">
      <c r="I27">
        <v>17</v>
      </c>
      <c r="J27" t="s">
        <v>231</v>
      </c>
      <c r="K27">
        <v>1922</v>
      </c>
      <c r="L27">
        <v>0.2</v>
      </c>
      <c r="M27" t="s">
        <v>232</v>
      </c>
      <c r="N27" t="s">
        <v>233</v>
      </c>
      <c r="O27" t="s">
        <v>234</v>
      </c>
      <c r="P27" t="s">
        <v>235</v>
      </c>
      <c r="Q27">
        <v>1</v>
      </c>
      <c r="R27">
        <v>0.01</v>
      </c>
      <c r="S27">
        <v>1</v>
      </c>
      <c r="T27">
        <v>1912.8</v>
      </c>
      <c r="W27">
        <v>1922</v>
      </c>
      <c r="X27">
        <v>1922</v>
      </c>
      <c r="Y27" s="1">
        <f t="shared" si="0"/>
        <v>0</v>
      </c>
      <c r="Z27" t="str">
        <f t="shared" si="1"/>
        <v/>
      </c>
    </row>
    <row r="28" spans="9:26" x14ac:dyDescent="0.25">
      <c r="I28">
        <v>18</v>
      </c>
      <c r="J28" t="s">
        <v>236</v>
      </c>
      <c r="K28">
        <v>1410</v>
      </c>
      <c r="L28">
        <v>1</v>
      </c>
      <c r="M28" t="s">
        <v>136</v>
      </c>
      <c r="N28" t="s">
        <v>237</v>
      </c>
      <c r="O28" t="s">
        <v>238</v>
      </c>
      <c r="P28" t="s">
        <v>239</v>
      </c>
      <c r="Q28">
        <v>1</v>
      </c>
      <c r="R28" t="s">
        <v>152</v>
      </c>
      <c r="S28">
        <v>0</v>
      </c>
      <c r="T28">
        <v>1416</v>
      </c>
      <c r="W28">
        <v>1410</v>
      </c>
      <c r="X28">
        <v>1410</v>
      </c>
      <c r="Y28" s="1">
        <f t="shared" si="0"/>
        <v>0</v>
      </c>
      <c r="Z28" t="str">
        <f t="shared" si="1"/>
        <v/>
      </c>
    </row>
    <row r="29" spans="9:26" x14ac:dyDescent="0.25">
      <c r="I29">
        <v>19</v>
      </c>
      <c r="J29" t="s">
        <v>240</v>
      </c>
      <c r="K29">
        <v>119.1</v>
      </c>
      <c r="L29">
        <v>0.1</v>
      </c>
      <c r="M29" t="s">
        <v>0</v>
      </c>
      <c r="N29" t="s">
        <v>241</v>
      </c>
      <c r="O29" t="s">
        <v>242</v>
      </c>
      <c r="P29" t="s">
        <v>243</v>
      </c>
      <c r="Q29">
        <v>1</v>
      </c>
      <c r="R29" t="s">
        <v>152</v>
      </c>
      <c r="S29">
        <v>1</v>
      </c>
      <c r="T29">
        <v>116.4</v>
      </c>
      <c r="W29">
        <v>119.1</v>
      </c>
      <c r="X29">
        <v>119.1</v>
      </c>
      <c r="Y29" s="1">
        <f t="shared" si="0"/>
        <v>0</v>
      </c>
      <c r="Z29" t="str">
        <f t="shared" si="1"/>
        <v/>
      </c>
    </row>
    <row r="30" spans="9:26" x14ac:dyDescent="0.25">
      <c r="I30">
        <v>20</v>
      </c>
      <c r="J30" t="s">
        <v>244</v>
      </c>
      <c r="K30">
        <v>533.5</v>
      </c>
      <c r="L30">
        <v>0.5</v>
      </c>
      <c r="M30" t="s">
        <v>136</v>
      </c>
      <c r="N30" t="s">
        <v>245</v>
      </c>
      <c r="O30" t="s">
        <v>246</v>
      </c>
      <c r="P30" t="s">
        <v>247</v>
      </c>
      <c r="Q30">
        <v>1</v>
      </c>
      <c r="R30" t="s">
        <v>152</v>
      </c>
      <c r="S30">
        <v>1</v>
      </c>
      <c r="T30">
        <v>531.5</v>
      </c>
      <c r="W30">
        <v>533.5</v>
      </c>
      <c r="X30">
        <v>533.5</v>
      </c>
      <c r="Y30" s="1">
        <f t="shared" si="0"/>
        <v>0</v>
      </c>
      <c r="Z30" t="str">
        <f t="shared" si="1"/>
        <v/>
      </c>
    </row>
    <row r="31" spans="9:26" x14ac:dyDescent="0.25">
      <c r="I31">
        <v>21</v>
      </c>
      <c r="J31" t="s">
        <v>248</v>
      </c>
      <c r="K31">
        <v>0.71699999999999997</v>
      </c>
      <c r="L31">
        <v>5.0000000000000001E-4</v>
      </c>
      <c r="M31" t="s">
        <v>0</v>
      </c>
      <c r="N31" t="s">
        <v>249</v>
      </c>
      <c r="O31" t="s">
        <v>250</v>
      </c>
      <c r="P31" t="s">
        <v>251</v>
      </c>
      <c r="Q31">
        <v>1000</v>
      </c>
      <c r="R31">
        <v>0.27</v>
      </c>
      <c r="S31">
        <v>4</v>
      </c>
      <c r="T31">
        <v>0.71750000000000003</v>
      </c>
      <c r="W31">
        <v>0.71699999999999997</v>
      </c>
      <c r="X31">
        <v>0.71699999999999997</v>
      </c>
      <c r="Y31" s="1">
        <f t="shared" si="0"/>
        <v>0</v>
      </c>
      <c r="Z31" t="str">
        <f t="shared" si="1"/>
        <v/>
      </c>
    </row>
    <row r="32" spans="9:26" x14ac:dyDescent="0.25">
      <c r="I32">
        <v>22</v>
      </c>
      <c r="J32" t="s">
        <v>252</v>
      </c>
      <c r="K32">
        <v>218.1</v>
      </c>
      <c r="L32">
        <v>0.01</v>
      </c>
      <c r="M32" t="s">
        <v>0</v>
      </c>
      <c r="N32" t="s">
        <v>253</v>
      </c>
      <c r="O32" t="s">
        <v>254</v>
      </c>
      <c r="P32" t="s">
        <v>255</v>
      </c>
      <c r="Q32">
        <v>1</v>
      </c>
      <c r="R32">
        <v>0.01</v>
      </c>
      <c r="S32">
        <v>2</v>
      </c>
      <c r="T32">
        <v>211.94</v>
      </c>
      <c r="W32">
        <v>218.1</v>
      </c>
      <c r="X32">
        <v>218.1</v>
      </c>
      <c r="Y32" s="1">
        <f t="shared" si="0"/>
        <v>0</v>
      </c>
      <c r="Z32" t="str">
        <f t="shared" si="1"/>
        <v/>
      </c>
    </row>
    <row r="33" spans="9:26" x14ac:dyDescent="0.25">
      <c r="I33">
        <v>23</v>
      </c>
      <c r="J33" t="s">
        <v>256</v>
      </c>
      <c r="K33">
        <v>115.82</v>
      </c>
      <c r="L33">
        <v>0.02</v>
      </c>
      <c r="M33" t="s">
        <v>0</v>
      </c>
      <c r="N33" t="s">
        <v>257</v>
      </c>
      <c r="O33" t="s">
        <v>258</v>
      </c>
      <c r="P33" t="s">
        <v>259</v>
      </c>
      <c r="Q33">
        <v>10</v>
      </c>
      <c r="R33">
        <v>0.1</v>
      </c>
      <c r="S33">
        <v>2</v>
      </c>
      <c r="T33">
        <v>116.18</v>
      </c>
      <c r="W33">
        <v>115.82</v>
      </c>
      <c r="X33">
        <v>115.82</v>
      </c>
      <c r="Y33" s="1">
        <f t="shared" si="0"/>
        <v>0</v>
      </c>
      <c r="Z33" t="str">
        <f t="shared" si="1"/>
        <v/>
      </c>
    </row>
    <row r="34" spans="9:26" x14ac:dyDescent="0.25">
      <c r="I34">
        <v>24</v>
      </c>
      <c r="J34" t="s">
        <v>260</v>
      </c>
      <c r="K34">
        <v>865.5</v>
      </c>
      <c r="L34">
        <v>0.5</v>
      </c>
      <c r="M34" t="s">
        <v>0</v>
      </c>
      <c r="N34" t="s">
        <v>261</v>
      </c>
      <c r="O34" t="s">
        <v>262</v>
      </c>
      <c r="P34" t="s">
        <v>263</v>
      </c>
      <c r="Q34">
        <v>1</v>
      </c>
      <c r="R34">
        <v>0.1</v>
      </c>
      <c r="S34">
        <v>1</v>
      </c>
      <c r="T34">
        <v>866</v>
      </c>
      <c r="W34">
        <v>865.5</v>
      </c>
      <c r="X34">
        <v>865.5</v>
      </c>
      <c r="Y34" s="1">
        <f t="shared" si="0"/>
        <v>0</v>
      </c>
      <c r="Z34" t="str">
        <f t="shared" si="1"/>
        <v/>
      </c>
    </row>
    <row r="35" spans="9:26" x14ac:dyDescent="0.25">
      <c r="I35">
        <v>25</v>
      </c>
      <c r="J35" t="s">
        <v>264</v>
      </c>
      <c r="K35">
        <v>392.8</v>
      </c>
      <c r="L35">
        <v>0.2</v>
      </c>
      <c r="M35" t="s">
        <v>0</v>
      </c>
      <c r="N35" t="s">
        <v>265</v>
      </c>
      <c r="O35" t="s">
        <v>266</v>
      </c>
      <c r="P35" t="s">
        <v>267</v>
      </c>
      <c r="Q35">
        <v>10</v>
      </c>
      <c r="R35">
        <v>0.2</v>
      </c>
      <c r="S35">
        <v>1</v>
      </c>
      <c r="T35">
        <v>407</v>
      </c>
      <c r="W35">
        <v>392.8</v>
      </c>
      <c r="X35">
        <v>392.8</v>
      </c>
      <c r="Y35" s="1">
        <f t="shared" si="0"/>
        <v>0</v>
      </c>
      <c r="Z35" t="str">
        <f t="shared" si="1"/>
        <v/>
      </c>
    </row>
    <row r="36" spans="9:26" x14ac:dyDescent="0.25">
      <c r="I36">
        <v>26</v>
      </c>
      <c r="J36" t="s">
        <v>268</v>
      </c>
      <c r="K36">
        <v>316.5</v>
      </c>
      <c r="L36">
        <v>0.5</v>
      </c>
      <c r="M36" t="s">
        <v>0</v>
      </c>
      <c r="N36" t="s">
        <v>269</v>
      </c>
      <c r="O36" t="s">
        <v>270</v>
      </c>
      <c r="P36" t="s">
        <v>271</v>
      </c>
      <c r="Q36">
        <v>10</v>
      </c>
      <c r="R36">
        <v>1</v>
      </c>
      <c r="S36">
        <v>1</v>
      </c>
      <c r="T36">
        <v>299</v>
      </c>
      <c r="W36">
        <v>316.5</v>
      </c>
      <c r="X36">
        <v>316.5</v>
      </c>
      <c r="Y36" s="1">
        <f t="shared" si="0"/>
        <v>0</v>
      </c>
      <c r="Z36" t="str">
        <f t="shared" si="1"/>
        <v/>
      </c>
    </row>
    <row r="37" spans="9:26" x14ac:dyDescent="0.25">
      <c r="I37">
        <v>27</v>
      </c>
      <c r="J37" t="s">
        <v>272</v>
      </c>
      <c r="K37">
        <v>1714.8</v>
      </c>
      <c r="L37">
        <v>0.2</v>
      </c>
      <c r="M37" t="s">
        <v>0</v>
      </c>
      <c r="N37" t="s">
        <v>149</v>
      </c>
      <c r="O37" t="s">
        <v>150</v>
      </c>
      <c r="P37" t="s">
        <v>151</v>
      </c>
      <c r="Q37">
        <v>1</v>
      </c>
      <c r="R37">
        <v>0.5</v>
      </c>
      <c r="S37">
        <v>1</v>
      </c>
      <c r="T37">
        <v>1727.8</v>
      </c>
      <c r="W37">
        <v>1714.8</v>
      </c>
      <c r="X37">
        <v>1714.8</v>
      </c>
      <c r="Y37" s="1">
        <f t="shared" si="0"/>
        <v>0</v>
      </c>
      <c r="Z37" t="str">
        <f t="shared" si="1"/>
        <v/>
      </c>
    </row>
    <row r="38" spans="9:26" x14ac:dyDescent="0.25">
      <c r="I38">
        <v>28</v>
      </c>
      <c r="J38" t="s">
        <v>273</v>
      </c>
      <c r="K38">
        <v>8.5649999999999995</v>
      </c>
      <c r="L38">
        <v>5.0000000000000001E-3</v>
      </c>
      <c r="M38" t="s">
        <v>0</v>
      </c>
      <c r="N38" t="s">
        <v>274</v>
      </c>
      <c r="O38" t="s">
        <v>275</v>
      </c>
      <c r="P38" t="s">
        <v>276</v>
      </c>
      <c r="Q38">
        <v>100</v>
      </c>
      <c r="R38">
        <v>5</v>
      </c>
      <c r="S38">
        <v>3</v>
      </c>
      <c r="T38">
        <v>8.5749999999999993</v>
      </c>
      <c r="W38">
        <v>8.5649999999999995</v>
      </c>
      <c r="X38">
        <v>8.5649999999999995</v>
      </c>
      <c r="Y38" s="1">
        <f t="shared" si="0"/>
        <v>0</v>
      </c>
      <c r="Z38" t="str">
        <f t="shared" si="1"/>
        <v/>
      </c>
    </row>
    <row r="39" spans="9:26" x14ac:dyDescent="0.25">
      <c r="I39">
        <v>29</v>
      </c>
      <c r="J39" t="s">
        <v>277</v>
      </c>
      <c r="K39">
        <v>66.48</v>
      </c>
      <c r="L39">
        <v>0.01</v>
      </c>
      <c r="M39" t="s">
        <v>0</v>
      </c>
      <c r="N39" t="s">
        <v>146</v>
      </c>
      <c r="O39" t="s">
        <v>147</v>
      </c>
      <c r="P39" t="s">
        <v>148</v>
      </c>
      <c r="Q39">
        <v>10</v>
      </c>
      <c r="R39">
        <v>0.5</v>
      </c>
      <c r="S39">
        <v>2</v>
      </c>
      <c r="T39">
        <v>65.989999999999995</v>
      </c>
      <c r="W39">
        <v>66.48</v>
      </c>
      <c r="X39">
        <v>66.48</v>
      </c>
      <c r="Y39" s="1">
        <f t="shared" si="0"/>
        <v>0</v>
      </c>
      <c r="Z39" t="str">
        <f t="shared" si="1"/>
        <v/>
      </c>
    </row>
    <row r="40" spans="9:26" x14ac:dyDescent="0.25">
      <c r="I40">
        <v>30</v>
      </c>
      <c r="J40" t="s">
        <v>278</v>
      </c>
      <c r="K40">
        <v>0</v>
      </c>
      <c r="L40">
        <v>0.02</v>
      </c>
      <c r="M40" t="s">
        <v>0</v>
      </c>
      <c r="N40" t="s">
        <v>279</v>
      </c>
      <c r="O40" t="s">
        <v>280</v>
      </c>
      <c r="P40" t="s">
        <v>281</v>
      </c>
      <c r="Q40">
        <v>100</v>
      </c>
      <c r="R40">
        <v>1</v>
      </c>
      <c r="S40">
        <v>2</v>
      </c>
      <c r="T40">
        <v>3.58</v>
      </c>
      <c r="W40">
        <v>0</v>
      </c>
      <c r="X40">
        <v>0</v>
      </c>
      <c r="Y40" s="1">
        <f t="shared" si="0"/>
        <v>0</v>
      </c>
      <c r="Z40" t="str">
        <f t="shared" si="1"/>
        <v/>
      </c>
    </row>
    <row r="41" spans="9:26" x14ac:dyDescent="0.25">
      <c r="I41">
        <v>31</v>
      </c>
      <c r="J41" t="s">
        <v>282</v>
      </c>
      <c r="K41">
        <v>259.5</v>
      </c>
      <c r="L41">
        <v>0.5</v>
      </c>
      <c r="M41" t="s">
        <v>0</v>
      </c>
      <c r="N41" t="s">
        <v>283</v>
      </c>
      <c r="O41" t="s">
        <v>284</v>
      </c>
      <c r="P41" t="s">
        <v>285</v>
      </c>
      <c r="Q41">
        <v>10</v>
      </c>
      <c r="R41">
        <v>1</v>
      </c>
      <c r="S41">
        <v>1</v>
      </c>
      <c r="T41">
        <v>256</v>
      </c>
      <c r="W41">
        <v>259.5</v>
      </c>
      <c r="X41">
        <v>259.5</v>
      </c>
      <c r="Y41" s="1">
        <f t="shared" si="0"/>
        <v>0</v>
      </c>
      <c r="Z41" t="str">
        <f t="shared" si="1"/>
        <v/>
      </c>
    </row>
    <row r="42" spans="9:26" x14ac:dyDescent="0.25">
      <c r="I42">
        <v>32</v>
      </c>
      <c r="J42" t="s">
        <v>286</v>
      </c>
      <c r="K42">
        <v>1160</v>
      </c>
      <c r="L42">
        <v>5</v>
      </c>
      <c r="M42" t="s">
        <v>0</v>
      </c>
      <c r="N42" t="s">
        <v>287</v>
      </c>
      <c r="O42" t="s">
        <v>288</v>
      </c>
      <c r="P42" t="s">
        <v>289</v>
      </c>
      <c r="Q42">
        <v>1</v>
      </c>
      <c r="R42">
        <v>10</v>
      </c>
      <c r="S42">
        <v>0</v>
      </c>
      <c r="T42">
        <v>1165</v>
      </c>
      <c r="W42">
        <v>1160</v>
      </c>
      <c r="X42">
        <v>1160</v>
      </c>
      <c r="Y42" s="1">
        <f t="shared" si="0"/>
        <v>0</v>
      </c>
      <c r="Z42" t="str">
        <f t="shared" si="1"/>
        <v/>
      </c>
    </row>
    <row r="43" spans="9:26" x14ac:dyDescent="0.25">
      <c r="I43">
        <v>33</v>
      </c>
      <c r="J43" t="s">
        <v>290</v>
      </c>
      <c r="K43">
        <v>18790</v>
      </c>
      <c r="L43">
        <v>2</v>
      </c>
      <c r="M43" t="s">
        <v>0</v>
      </c>
      <c r="N43" t="s">
        <v>291</v>
      </c>
      <c r="O43" t="s">
        <v>292</v>
      </c>
      <c r="P43" t="s">
        <v>293</v>
      </c>
      <c r="Q43">
        <v>1</v>
      </c>
      <c r="R43">
        <v>5</v>
      </c>
      <c r="S43">
        <v>0</v>
      </c>
      <c r="T43">
        <v>18750</v>
      </c>
      <c r="W43">
        <v>18790</v>
      </c>
      <c r="X43">
        <v>18790</v>
      </c>
      <c r="Y43" s="1">
        <f t="shared" si="0"/>
        <v>0</v>
      </c>
      <c r="Z43" t="str">
        <f t="shared" si="1"/>
        <v/>
      </c>
    </row>
    <row r="44" spans="9:26" x14ac:dyDescent="0.25">
      <c r="I44">
        <v>34</v>
      </c>
      <c r="J44" t="s">
        <v>294</v>
      </c>
      <c r="K44">
        <v>12.986000000000001</v>
      </c>
      <c r="L44">
        <v>2E-3</v>
      </c>
      <c r="M44" t="s">
        <v>0</v>
      </c>
      <c r="N44" t="s">
        <v>295</v>
      </c>
      <c r="O44" t="s">
        <v>296</v>
      </c>
      <c r="P44" t="s">
        <v>297</v>
      </c>
      <c r="Q44">
        <v>10</v>
      </c>
      <c r="R44">
        <v>0.64</v>
      </c>
      <c r="S44">
        <v>3</v>
      </c>
      <c r="T44">
        <v>12.95</v>
      </c>
      <c r="W44">
        <v>12.986000000000001</v>
      </c>
      <c r="X44">
        <v>12.986000000000001</v>
      </c>
      <c r="Y44" s="1">
        <f t="shared" si="0"/>
        <v>0</v>
      </c>
      <c r="Z44" t="str">
        <f t="shared" si="1"/>
        <v/>
      </c>
    </row>
    <row r="45" spans="9:26" x14ac:dyDescent="0.25">
      <c r="I45">
        <v>35</v>
      </c>
      <c r="J45" t="s">
        <v>298</v>
      </c>
      <c r="K45">
        <v>5.65</v>
      </c>
      <c r="L45">
        <v>0.01</v>
      </c>
      <c r="M45" t="s">
        <v>0</v>
      </c>
      <c r="N45" t="s">
        <v>299</v>
      </c>
      <c r="O45" t="s">
        <v>300</v>
      </c>
      <c r="P45" t="s">
        <v>301</v>
      </c>
      <c r="Q45">
        <v>100</v>
      </c>
      <c r="R45">
        <v>1</v>
      </c>
      <c r="S45">
        <v>2</v>
      </c>
      <c r="T45">
        <v>5.71</v>
      </c>
      <c r="W45">
        <v>5.65</v>
      </c>
      <c r="X45">
        <v>5.65</v>
      </c>
      <c r="Y45" s="1">
        <f t="shared" si="0"/>
        <v>0</v>
      </c>
      <c r="Z45" t="str">
        <f t="shared" si="1"/>
        <v/>
      </c>
    </row>
    <row r="46" spans="9:26" x14ac:dyDescent="0.25">
      <c r="I46">
        <v>36</v>
      </c>
      <c r="J46" t="s">
        <v>302</v>
      </c>
      <c r="K46">
        <v>1.024</v>
      </c>
      <c r="L46">
        <v>1E-3</v>
      </c>
      <c r="M46" t="s">
        <v>0</v>
      </c>
      <c r="N46" t="s">
        <v>303</v>
      </c>
      <c r="O46" t="s">
        <v>304</v>
      </c>
      <c r="P46" t="s">
        <v>305</v>
      </c>
      <c r="Q46">
        <v>1000</v>
      </c>
      <c r="R46">
        <v>7.0000000000000001E-3</v>
      </c>
      <c r="S46">
        <v>3</v>
      </c>
      <c r="T46">
        <v>1.048</v>
      </c>
      <c r="W46">
        <v>1.024</v>
      </c>
      <c r="X46">
        <v>1.024</v>
      </c>
      <c r="Y46" s="1">
        <f t="shared" si="0"/>
        <v>0</v>
      </c>
      <c r="Z46" t="str">
        <f t="shared" si="1"/>
        <v/>
      </c>
    </row>
    <row r="47" spans="9:26" x14ac:dyDescent="0.25">
      <c r="I47">
        <v>37</v>
      </c>
      <c r="J47" t="s">
        <v>306</v>
      </c>
      <c r="K47">
        <v>99</v>
      </c>
      <c r="L47">
        <v>5.0000000000000001E-3</v>
      </c>
      <c r="M47" t="s">
        <v>0</v>
      </c>
      <c r="N47" t="s">
        <v>307</v>
      </c>
      <c r="O47" t="s">
        <v>308</v>
      </c>
      <c r="P47" t="s">
        <v>309</v>
      </c>
      <c r="Q47">
        <v>100</v>
      </c>
      <c r="R47">
        <v>1</v>
      </c>
      <c r="S47">
        <v>3</v>
      </c>
      <c r="T47">
        <v>98.394999999999996</v>
      </c>
      <c r="W47">
        <v>99</v>
      </c>
      <c r="X47">
        <v>99</v>
      </c>
      <c r="Y47" s="1">
        <f t="shared" si="0"/>
        <v>0</v>
      </c>
      <c r="Z47" t="str">
        <f t="shared" si="1"/>
        <v/>
      </c>
    </row>
    <row r="48" spans="9:26" x14ac:dyDescent="0.25">
      <c r="I48">
        <v>38</v>
      </c>
      <c r="J48" t="s">
        <v>310</v>
      </c>
      <c r="K48">
        <v>32.29</v>
      </c>
      <c r="L48">
        <v>0.01</v>
      </c>
      <c r="M48" t="s">
        <v>0</v>
      </c>
      <c r="N48" t="s">
        <v>153</v>
      </c>
      <c r="O48" t="s">
        <v>154</v>
      </c>
      <c r="P48" t="s">
        <v>155</v>
      </c>
      <c r="Q48">
        <v>10</v>
      </c>
      <c r="R48">
        <v>1</v>
      </c>
      <c r="S48">
        <v>2</v>
      </c>
      <c r="T48">
        <v>32.39</v>
      </c>
      <c r="W48">
        <v>32.29</v>
      </c>
      <c r="X48">
        <v>32.29</v>
      </c>
      <c r="Y48" s="1">
        <f t="shared" si="0"/>
        <v>0</v>
      </c>
      <c r="Z48" t="str">
        <f t="shared" si="1"/>
        <v/>
      </c>
    </row>
    <row r="49" spans="9:26" x14ac:dyDescent="0.25">
      <c r="I49">
        <v>39</v>
      </c>
      <c r="J49" t="s">
        <v>311</v>
      </c>
      <c r="K49">
        <v>147.85</v>
      </c>
      <c r="L49">
        <v>0.01</v>
      </c>
      <c r="M49" t="s">
        <v>0</v>
      </c>
      <c r="N49" t="s">
        <v>143</v>
      </c>
      <c r="O49" t="s">
        <v>144</v>
      </c>
      <c r="P49" t="s">
        <v>145</v>
      </c>
      <c r="Q49">
        <v>10</v>
      </c>
      <c r="R49">
        <v>1</v>
      </c>
      <c r="S49">
        <v>2</v>
      </c>
      <c r="T49">
        <v>147.69999999999999</v>
      </c>
      <c r="W49">
        <v>147.85</v>
      </c>
      <c r="X49">
        <v>147.85</v>
      </c>
      <c r="Y49" s="1">
        <f t="shared" si="0"/>
        <v>0</v>
      </c>
      <c r="Z49" t="str">
        <f t="shared" si="1"/>
        <v/>
      </c>
    </row>
    <row r="50" spans="9:26" x14ac:dyDescent="0.25">
      <c r="I50">
        <v>40</v>
      </c>
      <c r="J50" t="s">
        <v>312</v>
      </c>
      <c r="K50">
        <v>29.35</v>
      </c>
      <c r="L50">
        <v>0.05</v>
      </c>
      <c r="M50" t="s">
        <v>0</v>
      </c>
      <c r="N50" t="s">
        <v>313</v>
      </c>
      <c r="O50" t="s">
        <v>314</v>
      </c>
      <c r="P50" t="s">
        <v>315</v>
      </c>
      <c r="Q50">
        <v>100</v>
      </c>
      <c r="R50">
        <v>1</v>
      </c>
      <c r="S50">
        <v>2</v>
      </c>
      <c r="T50">
        <v>28.65</v>
      </c>
      <c r="W50">
        <v>29.35</v>
      </c>
      <c r="X50">
        <v>29.35</v>
      </c>
      <c r="Y50" s="1">
        <f t="shared" si="0"/>
        <v>0</v>
      </c>
      <c r="Z50" t="str">
        <f t="shared" si="1"/>
        <v/>
      </c>
    </row>
    <row r="51" spans="9:26" x14ac:dyDescent="0.25">
      <c r="I51">
        <v>41</v>
      </c>
      <c r="J51" t="s">
        <v>316</v>
      </c>
      <c r="K51">
        <v>9.26</v>
      </c>
      <c r="L51">
        <v>0.01</v>
      </c>
      <c r="M51" t="s">
        <v>0</v>
      </c>
      <c r="N51" t="s">
        <v>317</v>
      </c>
      <c r="O51" t="s">
        <v>318</v>
      </c>
      <c r="P51" t="s">
        <v>319</v>
      </c>
      <c r="Q51">
        <v>100</v>
      </c>
      <c r="R51">
        <v>1</v>
      </c>
      <c r="S51">
        <v>2</v>
      </c>
      <c r="T51">
        <v>9.23</v>
      </c>
      <c r="W51">
        <v>9.26</v>
      </c>
      <c r="X51">
        <v>9.26</v>
      </c>
      <c r="Y51" s="1">
        <f t="shared" si="0"/>
        <v>0</v>
      </c>
      <c r="Z51" t="str">
        <f t="shared" si="1"/>
        <v/>
      </c>
    </row>
    <row r="52" spans="9:26" x14ac:dyDescent="0.25">
      <c r="I52">
        <v>42</v>
      </c>
      <c r="J52" t="s">
        <v>320</v>
      </c>
      <c r="K52">
        <v>1204</v>
      </c>
      <c r="L52">
        <v>0.5</v>
      </c>
      <c r="M52" t="s">
        <v>0</v>
      </c>
      <c r="N52" t="s">
        <v>1</v>
      </c>
      <c r="O52" t="s">
        <v>2</v>
      </c>
      <c r="P52" t="s">
        <v>3</v>
      </c>
      <c r="Q52">
        <v>1</v>
      </c>
      <c r="R52">
        <v>1</v>
      </c>
      <c r="S52">
        <v>1</v>
      </c>
      <c r="T52">
        <v>1200.5</v>
      </c>
      <c r="W52">
        <v>1204</v>
      </c>
      <c r="X52">
        <v>1204</v>
      </c>
      <c r="Y52" s="1">
        <f t="shared" si="0"/>
        <v>0</v>
      </c>
      <c r="Z52" t="str">
        <f t="shared" si="1"/>
        <v/>
      </c>
    </row>
    <row r="53" spans="9:26" x14ac:dyDescent="0.25">
      <c r="I53">
        <v>43</v>
      </c>
      <c r="J53" t="s">
        <v>321</v>
      </c>
      <c r="K53">
        <v>962.5</v>
      </c>
      <c r="L53">
        <v>0.5</v>
      </c>
      <c r="M53" t="s">
        <v>0</v>
      </c>
      <c r="N53" t="s">
        <v>4</v>
      </c>
      <c r="O53" t="s">
        <v>5</v>
      </c>
      <c r="P53" t="s">
        <v>6</v>
      </c>
      <c r="Q53">
        <v>1</v>
      </c>
      <c r="R53">
        <v>1</v>
      </c>
      <c r="S53">
        <v>1</v>
      </c>
      <c r="T53">
        <v>962.5</v>
      </c>
      <c r="W53">
        <v>962.5</v>
      </c>
      <c r="X53">
        <v>962.5</v>
      </c>
      <c r="Y53" s="1">
        <f t="shared" si="0"/>
        <v>0</v>
      </c>
      <c r="Z53" t="str">
        <f t="shared" si="1"/>
        <v/>
      </c>
    </row>
    <row r="54" spans="9:26" x14ac:dyDescent="0.25">
      <c r="I54">
        <v>44</v>
      </c>
      <c r="J54" t="s">
        <v>322</v>
      </c>
      <c r="K54">
        <v>29.91</v>
      </c>
      <c r="L54">
        <v>5.0000000000000001E-3</v>
      </c>
      <c r="M54" t="s">
        <v>0</v>
      </c>
      <c r="N54" t="s">
        <v>323</v>
      </c>
      <c r="O54" t="s">
        <v>324</v>
      </c>
      <c r="P54" t="s">
        <v>325</v>
      </c>
      <c r="Q54">
        <v>100</v>
      </c>
      <c r="R54">
        <v>0.01</v>
      </c>
      <c r="S54">
        <v>3</v>
      </c>
      <c r="T54">
        <v>29.12</v>
      </c>
      <c r="W54">
        <v>29.91</v>
      </c>
      <c r="X54">
        <v>29.91</v>
      </c>
      <c r="Y54" s="1">
        <f t="shared" si="0"/>
        <v>0</v>
      </c>
      <c r="Z54" t="str">
        <f t="shared" si="1"/>
        <v/>
      </c>
    </row>
    <row r="55" spans="9:26" x14ac:dyDescent="0.25">
      <c r="I55">
        <v>45</v>
      </c>
      <c r="J55" t="s">
        <v>326</v>
      </c>
      <c r="K55">
        <v>4406</v>
      </c>
      <c r="L55">
        <v>1</v>
      </c>
      <c r="M55" t="s">
        <v>0</v>
      </c>
      <c r="N55" t="s">
        <v>327</v>
      </c>
      <c r="O55" t="s">
        <v>328</v>
      </c>
      <c r="P55" t="s">
        <v>329</v>
      </c>
      <c r="Q55">
        <v>1</v>
      </c>
      <c r="R55">
        <v>100</v>
      </c>
      <c r="S55">
        <v>0</v>
      </c>
      <c r="T55">
        <v>4420</v>
      </c>
      <c r="W55">
        <v>4406</v>
      </c>
      <c r="X55">
        <v>4406</v>
      </c>
      <c r="Y55" s="1">
        <f t="shared" si="0"/>
        <v>0</v>
      </c>
      <c r="Z55" t="str">
        <f t="shared" si="1"/>
        <v/>
      </c>
    </row>
    <row r="56" spans="9:26" x14ac:dyDescent="0.25">
      <c r="I56">
        <v>46</v>
      </c>
      <c r="J56" t="s">
        <v>330</v>
      </c>
      <c r="K56">
        <v>1307</v>
      </c>
      <c r="L56">
        <v>1</v>
      </c>
      <c r="M56" t="s">
        <v>0</v>
      </c>
      <c r="N56" t="s">
        <v>331</v>
      </c>
      <c r="O56" t="s">
        <v>332</v>
      </c>
      <c r="P56" t="s">
        <v>333</v>
      </c>
      <c r="Q56">
        <v>1</v>
      </c>
      <c r="R56">
        <v>2.5000000000000001E-2</v>
      </c>
      <c r="S56">
        <v>0</v>
      </c>
      <c r="T56">
        <v>1300</v>
      </c>
      <c r="W56">
        <v>1307</v>
      </c>
      <c r="X56">
        <v>1307</v>
      </c>
      <c r="Y56" s="1">
        <f t="shared" si="0"/>
        <v>0</v>
      </c>
      <c r="Z56" t="str">
        <f t="shared" si="1"/>
        <v/>
      </c>
    </row>
    <row r="57" spans="9:26" x14ac:dyDescent="0.25">
      <c r="I57">
        <v>47</v>
      </c>
      <c r="J57" t="s">
        <v>334</v>
      </c>
      <c r="K57">
        <v>47240</v>
      </c>
      <c r="L57">
        <v>20</v>
      </c>
      <c r="M57" t="s">
        <v>0</v>
      </c>
      <c r="N57" t="s">
        <v>335</v>
      </c>
      <c r="O57" t="s">
        <v>336</v>
      </c>
      <c r="P57" t="s">
        <v>337</v>
      </c>
      <c r="Q57">
        <v>1</v>
      </c>
      <c r="R57">
        <v>1</v>
      </c>
      <c r="S57">
        <v>0</v>
      </c>
      <c r="T57">
        <v>46620</v>
      </c>
      <c r="W57">
        <v>47240</v>
      </c>
      <c r="X57">
        <v>47240</v>
      </c>
      <c r="Y57" s="1">
        <f t="shared" si="0"/>
        <v>0</v>
      </c>
      <c r="Z57" t="str">
        <f t="shared" si="1"/>
        <v/>
      </c>
    </row>
    <row r="58" spans="9:26" x14ac:dyDescent="0.25">
      <c r="I58">
        <v>48</v>
      </c>
      <c r="J58" t="s">
        <v>338</v>
      </c>
      <c r="K58">
        <v>1.8785E-2</v>
      </c>
      <c r="L58">
        <v>5.0000000000000004E-6</v>
      </c>
      <c r="M58" t="s">
        <v>0</v>
      </c>
      <c r="N58" t="s">
        <v>7</v>
      </c>
      <c r="O58" t="s">
        <v>8</v>
      </c>
      <c r="P58" t="s">
        <v>9</v>
      </c>
      <c r="Q58">
        <v>10000</v>
      </c>
      <c r="R58">
        <v>0.01</v>
      </c>
      <c r="S58">
        <v>6</v>
      </c>
      <c r="T58">
        <v>1.8769999999999998E-2</v>
      </c>
      <c r="W58">
        <v>1.8785E-2</v>
      </c>
      <c r="X58">
        <v>1.8785E-2</v>
      </c>
      <c r="Y58" s="1">
        <f t="shared" si="0"/>
        <v>0</v>
      </c>
      <c r="Z58" t="str">
        <f t="shared" si="1"/>
        <v/>
      </c>
    </row>
    <row r="59" spans="9:26" x14ac:dyDescent="0.25">
      <c r="I59">
        <v>49</v>
      </c>
      <c r="J59" t="s">
        <v>339</v>
      </c>
      <c r="K59">
        <v>140.1</v>
      </c>
      <c r="L59">
        <v>0.05</v>
      </c>
      <c r="M59" t="s">
        <v>0</v>
      </c>
      <c r="N59" t="s">
        <v>340</v>
      </c>
      <c r="O59" t="s">
        <v>341</v>
      </c>
      <c r="P59" t="s">
        <v>342</v>
      </c>
      <c r="Q59">
        <v>10</v>
      </c>
      <c r="R59">
        <v>20</v>
      </c>
      <c r="S59">
        <v>2</v>
      </c>
      <c r="T59">
        <v>131.15</v>
      </c>
      <c r="W59">
        <v>140.1</v>
      </c>
      <c r="X59">
        <v>140.1</v>
      </c>
      <c r="Y59" s="1">
        <f t="shared" si="0"/>
        <v>0</v>
      </c>
      <c r="Z59" t="str">
        <f t="shared" si="1"/>
        <v/>
      </c>
    </row>
    <row r="60" spans="9:26" x14ac:dyDescent="0.25">
      <c r="I60">
        <v>50</v>
      </c>
      <c r="J60" t="s">
        <v>343</v>
      </c>
      <c r="K60">
        <v>1927</v>
      </c>
      <c r="L60">
        <v>1</v>
      </c>
      <c r="M60" t="s">
        <v>0</v>
      </c>
      <c r="N60" t="s">
        <v>344</v>
      </c>
      <c r="O60" t="s">
        <v>345</v>
      </c>
      <c r="P60" t="s">
        <v>346</v>
      </c>
      <c r="Q60">
        <v>1</v>
      </c>
      <c r="R60">
        <v>0.1</v>
      </c>
      <c r="S60">
        <v>0</v>
      </c>
      <c r="T60">
        <v>1929</v>
      </c>
      <c r="W60">
        <v>1927</v>
      </c>
      <c r="X60">
        <v>1927</v>
      </c>
      <c r="Y60" s="1">
        <f t="shared" si="0"/>
        <v>0</v>
      </c>
      <c r="Z60" t="str">
        <f t="shared" si="1"/>
        <v/>
      </c>
    </row>
    <row r="61" spans="9:26" x14ac:dyDescent="0.25">
      <c r="I61">
        <v>51</v>
      </c>
      <c r="J61" t="s">
        <v>347</v>
      </c>
      <c r="K61">
        <v>765</v>
      </c>
      <c r="L61">
        <v>1</v>
      </c>
      <c r="M61" t="s">
        <v>0</v>
      </c>
      <c r="N61" t="s">
        <v>348</v>
      </c>
      <c r="O61" t="s">
        <v>349</v>
      </c>
      <c r="P61" t="s">
        <v>350</v>
      </c>
      <c r="Q61">
        <v>1</v>
      </c>
      <c r="R61">
        <v>0.1</v>
      </c>
      <c r="S61">
        <v>0</v>
      </c>
      <c r="T61">
        <v>768</v>
      </c>
      <c r="W61">
        <v>765</v>
      </c>
      <c r="X61">
        <v>765</v>
      </c>
      <c r="Y61" s="1">
        <f t="shared" si="0"/>
        <v>0</v>
      </c>
      <c r="Z61" t="str">
        <f t="shared" si="1"/>
        <v/>
      </c>
    </row>
    <row r="62" spans="9:26" x14ac:dyDescent="0.25">
      <c r="I62">
        <v>52</v>
      </c>
      <c r="J62" t="s">
        <v>351</v>
      </c>
      <c r="K62">
        <v>5.7050000000000001</v>
      </c>
      <c r="L62">
        <v>5.0000000000000001E-3</v>
      </c>
      <c r="M62" t="s">
        <v>0</v>
      </c>
      <c r="N62" t="s">
        <v>352</v>
      </c>
      <c r="O62" t="s">
        <v>353</v>
      </c>
      <c r="P62" t="s">
        <v>354</v>
      </c>
      <c r="Q62">
        <v>1000</v>
      </c>
      <c r="R62">
        <v>0.12</v>
      </c>
      <c r="S62">
        <v>3</v>
      </c>
      <c r="T62">
        <v>4.71</v>
      </c>
      <c r="W62">
        <v>5.7050000000000001</v>
      </c>
      <c r="X62">
        <v>5.7050000000000001</v>
      </c>
      <c r="Y62" s="1">
        <f t="shared" si="0"/>
        <v>0</v>
      </c>
      <c r="Z62" t="str">
        <f t="shared" si="1"/>
        <v/>
      </c>
    </row>
    <row r="63" spans="9:26" x14ac:dyDescent="0.25">
      <c r="I63">
        <v>53</v>
      </c>
      <c r="J63" t="s">
        <v>355</v>
      </c>
      <c r="K63">
        <v>3.2749999999999999</v>
      </c>
      <c r="L63">
        <v>5.0000000000000001E-3</v>
      </c>
      <c r="M63" t="s">
        <v>0</v>
      </c>
      <c r="N63" t="s">
        <v>352</v>
      </c>
      <c r="O63" t="s">
        <v>356</v>
      </c>
      <c r="P63" t="s">
        <v>357</v>
      </c>
      <c r="Q63">
        <v>1000</v>
      </c>
      <c r="R63">
        <v>0.12</v>
      </c>
      <c r="S63">
        <v>3</v>
      </c>
      <c r="T63">
        <v>2.895</v>
      </c>
      <c r="W63">
        <v>3.2749999999999999</v>
      </c>
      <c r="X63">
        <v>3.2749999999999999</v>
      </c>
      <c r="Y63" s="1">
        <f t="shared" si="0"/>
        <v>0</v>
      </c>
      <c r="Z63" t="str">
        <f t="shared" si="1"/>
        <v/>
      </c>
    </row>
    <row r="64" spans="9:26" x14ac:dyDescent="0.25">
      <c r="I64">
        <v>54</v>
      </c>
      <c r="J64" t="s">
        <v>358</v>
      </c>
      <c r="K64">
        <v>6685</v>
      </c>
      <c r="L64">
        <v>5</v>
      </c>
      <c r="M64" t="s">
        <v>0</v>
      </c>
      <c r="N64" t="s">
        <v>359</v>
      </c>
      <c r="O64" t="s">
        <v>360</v>
      </c>
      <c r="P64" t="s">
        <v>361</v>
      </c>
      <c r="Q64">
        <v>1</v>
      </c>
      <c r="R64">
        <v>0.5</v>
      </c>
      <c r="S64">
        <v>0</v>
      </c>
      <c r="T64">
        <v>6735</v>
      </c>
      <c r="W64">
        <v>6685</v>
      </c>
      <c r="X64">
        <v>6685</v>
      </c>
      <c r="Y64" s="1">
        <f t="shared" si="0"/>
        <v>0</v>
      </c>
      <c r="Z64" t="str">
        <f t="shared" si="1"/>
        <v/>
      </c>
    </row>
    <row r="65" spans="9:26" x14ac:dyDescent="0.25">
      <c r="I65">
        <v>55</v>
      </c>
      <c r="J65" t="s">
        <v>362</v>
      </c>
      <c r="K65">
        <v>6580</v>
      </c>
      <c r="L65">
        <v>20</v>
      </c>
      <c r="M65" t="s">
        <v>0</v>
      </c>
      <c r="N65" t="s">
        <v>363</v>
      </c>
      <c r="O65" t="s">
        <v>364</v>
      </c>
      <c r="P65" t="s">
        <v>365</v>
      </c>
      <c r="Q65">
        <v>1</v>
      </c>
      <c r="R65">
        <v>0.5</v>
      </c>
      <c r="S65">
        <v>0</v>
      </c>
      <c r="T65">
        <v>6640</v>
      </c>
      <c r="W65">
        <v>6580</v>
      </c>
      <c r="X65">
        <v>6580</v>
      </c>
      <c r="Y65" s="1">
        <f t="shared" si="0"/>
        <v>0</v>
      </c>
      <c r="Z65" t="str">
        <f t="shared" si="1"/>
        <v/>
      </c>
    </row>
    <row r="66" spans="9:26" x14ac:dyDescent="0.25">
      <c r="I66">
        <v>56</v>
      </c>
      <c r="J66" t="s">
        <v>366</v>
      </c>
      <c r="K66">
        <v>747.5</v>
      </c>
      <c r="L66">
        <v>0.5</v>
      </c>
      <c r="M66" t="s">
        <v>0</v>
      </c>
      <c r="N66" t="s">
        <v>367</v>
      </c>
      <c r="O66" t="s">
        <v>368</v>
      </c>
      <c r="P66" t="s">
        <v>369</v>
      </c>
      <c r="Q66">
        <v>10</v>
      </c>
      <c r="R66">
        <v>1</v>
      </c>
      <c r="S66">
        <v>1</v>
      </c>
      <c r="T66">
        <v>741</v>
      </c>
      <c r="W66">
        <v>747.5</v>
      </c>
      <c r="X66">
        <v>747.5</v>
      </c>
      <c r="Y66" s="1">
        <f t="shared" si="0"/>
        <v>0</v>
      </c>
      <c r="Z66" t="str">
        <f t="shared" si="1"/>
        <v/>
      </c>
    </row>
    <row r="67" spans="9:26" x14ac:dyDescent="0.25">
      <c r="I67">
        <v>57</v>
      </c>
      <c r="J67" t="s">
        <v>370</v>
      </c>
      <c r="K67">
        <v>464.5</v>
      </c>
      <c r="L67">
        <v>0.5</v>
      </c>
      <c r="M67" t="s">
        <v>0</v>
      </c>
      <c r="N67" t="s">
        <v>371</v>
      </c>
      <c r="O67" t="s">
        <v>372</v>
      </c>
      <c r="P67" t="s">
        <v>373</v>
      </c>
      <c r="Q67">
        <v>10</v>
      </c>
      <c r="R67">
        <v>1</v>
      </c>
      <c r="S67">
        <v>1</v>
      </c>
      <c r="T67">
        <v>466.5</v>
      </c>
      <c r="W67">
        <v>464.5</v>
      </c>
      <c r="X67">
        <v>464.5</v>
      </c>
      <c r="Y67" s="1">
        <f t="shared" si="0"/>
        <v>0</v>
      </c>
      <c r="Z67" t="str">
        <f t="shared" si="1"/>
        <v/>
      </c>
    </row>
    <row r="68" spans="9:26" x14ac:dyDescent="0.25">
      <c r="I68">
        <v>58</v>
      </c>
      <c r="J68" t="s">
        <v>374</v>
      </c>
      <c r="K68">
        <v>0</v>
      </c>
      <c r="L68">
        <v>0.5</v>
      </c>
      <c r="M68" t="s">
        <v>0</v>
      </c>
      <c r="N68" t="s">
        <v>375</v>
      </c>
      <c r="O68" t="s">
        <v>376</v>
      </c>
      <c r="P68" t="s">
        <v>377</v>
      </c>
      <c r="Q68">
        <v>10</v>
      </c>
      <c r="R68">
        <v>100</v>
      </c>
      <c r="S68">
        <v>1</v>
      </c>
      <c r="T68">
        <v>88.5</v>
      </c>
      <c r="W68">
        <v>0</v>
      </c>
      <c r="X68">
        <v>0</v>
      </c>
      <c r="Y68" s="1">
        <f t="shared" si="0"/>
        <v>0</v>
      </c>
      <c r="Z68" t="str">
        <f t="shared" ref="Z68:Z131" si="2">IF($Y$8&gt;0.0009,IF($Y$8=Y68,I68,""),"")</f>
        <v/>
      </c>
    </row>
    <row r="69" spans="9:26" x14ac:dyDescent="0.25">
      <c r="I69">
        <v>59</v>
      </c>
      <c r="J69" t="s">
        <v>378</v>
      </c>
      <c r="K69">
        <v>0</v>
      </c>
      <c r="L69">
        <v>1</v>
      </c>
      <c r="M69" t="s">
        <v>0</v>
      </c>
      <c r="N69" t="s">
        <v>379</v>
      </c>
      <c r="O69" t="s">
        <v>380</v>
      </c>
      <c r="P69" t="s">
        <v>381</v>
      </c>
      <c r="Q69">
        <v>10</v>
      </c>
      <c r="R69">
        <v>10</v>
      </c>
      <c r="S69">
        <v>0</v>
      </c>
      <c r="T69">
        <v>328</v>
      </c>
      <c r="W69">
        <v>0</v>
      </c>
      <c r="X69">
        <v>0</v>
      </c>
      <c r="Y69" s="1">
        <f t="shared" si="0"/>
        <v>0</v>
      </c>
      <c r="Z69" t="str">
        <f t="shared" si="2"/>
        <v/>
      </c>
    </row>
    <row r="70" spans="9:26" x14ac:dyDescent="0.25">
      <c r="I70">
        <v>60</v>
      </c>
      <c r="J70" t="s">
        <v>382</v>
      </c>
      <c r="K70">
        <v>0</v>
      </c>
      <c r="L70">
        <v>1</v>
      </c>
      <c r="M70" t="s">
        <v>0</v>
      </c>
      <c r="N70" t="s">
        <v>383</v>
      </c>
      <c r="O70" t="s">
        <v>384</v>
      </c>
      <c r="P70" t="s">
        <v>385</v>
      </c>
      <c r="Q70">
        <v>10</v>
      </c>
      <c r="R70">
        <v>10</v>
      </c>
      <c r="S70">
        <v>0</v>
      </c>
      <c r="T70">
        <v>328</v>
      </c>
      <c r="W70">
        <v>0</v>
      </c>
      <c r="X70">
        <v>0</v>
      </c>
      <c r="Y70" s="1">
        <f t="shared" si="0"/>
        <v>0</v>
      </c>
      <c r="Z70" t="str">
        <f t="shared" si="2"/>
        <v/>
      </c>
    </row>
    <row r="71" spans="9:26" x14ac:dyDescent="0.25">
      <c r="I71">
        <v>61</v>
      </c>
      <c r="J71" t="s">
        <v>386</v>
      </c>
      <c r="K71">
        <v>172.41</v>
      </c>
      <c r="L71">
        <v>0.01</v>
      </c>
      <c r="M71" t="s">
        <v>0</v>
      </c>
      <c r="N71" t="s">
        <v>10</v>
      </c>
      <c r="O71" t="s">
        <v>11</v>
      </c>
      <c r="P71" t="s">
        <v>12</v>
      </c>
      <c r="Q71">
        <v>10</v>
      </c>
      <c r="R71">
        <v>5</v>
      </c>
      <c r="S71">
        <v>2</v>
      </c>
      <c r="T71">
        <v>171.6</v>
      </c>
      <c r="W71">
        <v>172.41</v>
      </c>
      <c r="X71">
        <v>172.41</v>
      </c>
      <c r="Y71" s="1">
        <f t="shared" si="0"/>
        <v>0</v>
      </c>
      <c r="Z71" t="str">
        <f t="shared" si="2"/>
        <v/>
      </c>
    </row>
    <row r="72" spans="9:26" x14ac:dyDescent="0.25">
      <c r="I72">
        <v>62</v>
      </c>
      <c r="J72" t="s">
        <v>387</v>
      </c>
      <c r="K72">
        <v>3.76</v>
      </c>
      <c r="L72">
        <v>2E-3</v>
      </c>
      <c r="M72" t="s">
        <v>0</v>
      </c>
      <c r="N72" t="s">
        <v>388</v>
      </c>
      <c r="O72" t="s">
        <v>389</v>
      </c>
      <c r="P72" t="s">
        <v>390</v>
      </c>
      <c r="Q72">
        <v>100</v>
      </c>
      <c r="R72">
        <v>6.4000000000000005E-4</v>
      </c>
      <c r="S72">
        <v>3</v>
      </c>
      <c r="T72">
        <v>3.7919999999999998</v>
      </c>
      <c r="W72">
        <v>3.76</v>
      </c>
      <c r="X72">
        <v>3.76</v>
      </c>
      <c r="Y72" s="1">
        <f t="shared" si="0"/>
        <v>0</v>
      </c>
      <c r="Z72" t="str">
        <f t="shared" si="2"/>
        <v/>
      </c>
    </row>
    <row r="73" spans="9:26" x14ac:dyDescent="0.25">
      <c r="I73">
        <v>63</v>
      </c>
      <c r="J73" t="s">
        <v>391</v>
      </c>
      <c r="K73">
        <v>15440</v>
      </c>
      <c r="L73">
        <v>2</v>
      </c>
      <c r="M73" t="s">
        <v>0</v>
      </c>
      <c r="N73" t="s">
        <v>13</v>
      </c>
      <c r="O73" t="s">
        <v>14</v>
      </c>
      <c r="P73" t="s">
        <v>15</v>
      </c>
      <c r="Q73">
        <v>1</v>
      </c>
      <c r="R73">
        <v>1</v>
      </c>
      <c r="S73">
        <v>0</v>
      </c>
      <c r="T73">
        <v>15380</v>
      </c>
      <c r="W73">
        <v>15440</v>
      </c>
      <c r="X73">
        <v>15440</v>
      </c>
      <c r="Y73" s="1">
        <f t="shared" si="0"/>
        <v>0</v>
      </c>
      <c r="Z73" t="str">
        <f t="shared" si="2"/>
        <v/>
      </c>
    </row>
    <row r="74" spans="9:26" x14ac:dyDescent="0.25">
      <c r="I74">
        <v>64</v>
      </c>
      <c r="J74" t="s">
        <v>392</v>
      </c>
      <c r="K74">
        <v>79.400000000000006</v>
      </c>
      <c r="L74">
        <v>0.05</v>
      </c>
      <c r="M74" t="s">
        <v>0</v>
      </c>
      <c r="N74" t="s">
        <v>393</v>
      </c>
      <c r="O74" t="s">
        <v>394</v>
      </c>
      <c r="P74" t="s">
        <v>395</v>
      </c>
      <c r="Q74">
        <v>10</v>
      </c>
      <c r="R74">
        <v>100</v>
      </c>
      <c r="S74">
        <v>2</v>
      </c>
      <c r="T74">
        <v>75.8</v>
      </c>
      <c r="W74">
        <v>79.400000000000006</v>
      </c>
      <c r="X74">
        <v>79.400000000000006</v>
      </c>
      <c r="Y74" s="1">
        <f t="shared" si="0"/>
        <v>0</v>
      </c>
      <c r="Z74" t="str">
        <f t="shared" si="2"/>
        <v/>
      </c>
    </row>
    <row r="75" spans="9:26" x14ac:dyDescent="0.25">
      <c r="I75">
        <v>65</v>
      </c>
      <c r="J75" t="s">
        <v>396</v>
      </c>
      <c r="K75">
        <v>32500</v>
      </c>
      <c r="L75">
        <v>100</v>
      </c>
      <c r="M75" t="s">
        <v>0</v>
      </c>
      <c r="N75" t="s">
        <v>397</v>
      </c>
      <c r="O75" t="s">
        <v>398</v>
      </c>
      <c r="P75" t="s">
        <v>399</v>
      </c>
      <c r="Q75">
        <v>1</v>
      </c>
      <c r="R75">
        <v>2000</v>
      </c>
      <c r="S75">
        <v>0</v>
      </c>
      <c r="T75">
        <v>32500</v>
      </c>
      <c r="W75">
        <v>32500</v>
      </c>
      <c r="X75">
        <v>32500</v>
      </c>
      <c r="Y75" s="1">
        <f t="shared" si="0"/>
        <v>0</v>
      </c>
      <c r="Z75" t="str">
        <f t="shared" si="2"/>
        <v/>
      </c>
    </row>
    <row r="76" spans="9:26" x14ac:dyDescent="0.25">
      <c r="I76">
        <v>66</v>
      </c>
      <c r="J76" t="s">
        <v>400</v>
      </c>
      <c r="K76">
        <v>476.55</v>
      </c>
      <c r="L76">
        <v>0.05</v>
      </c>
      <c r="M76" t="s">
        <v>0</v>
      </c>
      <c r="N76" t="s">
        <v>16</v>
      </c>
      <c r="O76" t="s">
        <v>17</v>
      </c>
      <c r="P76" t="s">
        <v>18</v>
      </c>
      <c r="Q76">
        <v>1</v>
      </c>
      <c r="R76">
        <v>1.6000000000000001E-3</v>
      </c>
      <c r="S76">
        <v>2</v>
      </c>
      <c r="T76">
        <v>482</v>
      </c>
      <c r="W76">
        <v>476.55</v>
      </c>
      <c r="X76">
        <v>476.55</v>
      </c>
      <c r="Y76" s="1">
        <f t="shared" ref="Y76:Y139" si="3">IFERROR(ABS((W76-X76)/X76),0)</f>
        <v>0</v>
      </c>
      <c r="Z76" t="str">
        <f t="shared" si="2"/>
        <v/>
      </c>
    </row>
    <row r="77" spans="9:26" x14ac:dyDescent="0.25">
      <c r="I77">
        <v>67</v>
      </c>
      <c r="J77" t="s">
        <v>401</v>
      </c>
      <c r="K77">
        <v>37.15</v>
      </c>
      <c r="L77">
        <v>0.01</v>
      </c>
      <c r="M77" t="s">
        <v>0</v>
      </c>
      <c r="N77" t="s">
        <v>402</v>
      </c>
      <c r="O77" t="s">
        <v>403</v>
      </c>
      <c r="P77" t="s">
        <v>404</v>
      </c>
      <c r="Q77">
        <v>100</v>
      </c>
      <c r="R77">
        <v>1</v>
      </c>
      <c r="S77">
        <v>2</v>
      </c>
      <c r="T77">
        <v>37.159999999999997</v>
      </c>
      <c r="W77">
        <v>37.15</v>
      </c>
      <c r="X77">
        <v>37.15</v>
      </c>
      <c r="Y77" s="1">
        <f t="shared" si="3"/>
        <v>0</v>
      </c>
      <c r="Z77" t="str">
        <f t="shared" si="2"/>
        <v/>
      </c>
    </row>
    <row r="78" spans="9:26" x14ac:dyDescent="0.25">
      <c r="I78">
        <v>68</v>
      </c>
      <c r="J78" t="s">
        <v>405</v>
      </c>
      <c r="K78">
        <v>1.6970000000000001</v>
      </c>
      <c r="L78">
        <v>1E-3</v>
      </c>
      <c r="M78" t="s">
        <v>0</v>
      </c>
      <c r="N78" t="s">
        <v>406</v>
      </c>
      <c r="O78" t="s">
        <v>407</v>
      </c>
      <c r="P78" t="s">
        <v>408</v>
      </c>
      <c r="Q78">
        <v>1000</v>
      </c>
      <c r="R78">
        <v>1</v>
      </c>
      <c r="S78">
        <v>3</v>
      </c>
      <c r="T78">
        <v>1.6850000000000001</v>
      </c>
      <c r="W78">
        <v>1.6970000000000001</v>
      </c>
      <c r="X78">
        <v>1.6970000000000001</v>
      </c>
      <c r="Y78" s="1">
        <f t="shared" si="3"/>
        <v>0</v>
      </c>
      <c r="Z78" t="str">
        <f t="shared" si="2"/>
        <v/>
      </c>
    </row>
    <row r="79" spans="9:26" x14ac:dyDescent="0.25">
      <c r="I79">
        <v>69</v>
      </c>
      <c r="J79" t="s">
        <v>409</v>
      </c>
      <c r="K79">
        <v>71.22</v>
      </c>
      <c r="L79">
        <v>0.02</v>
      </c>
      <c r="M79" t="s">
        <v>0</v>
      </c>
      <c r="N79" t="s">
        <v>19</v>
      </c>
      <c r="O79" t="s">
        <v>20</v>
      </c>
      <c r="P79" t="s">
        <v>21</v>
      </c>
      <c r="Q79">
        <v>10</v>
      </c>
      <c r="R79">
        <v>4.0000000000000002E-4</v>
      </c>
      <c r="S79">
        <v>2</v>
      </c>
      <c r="T79">
        <v>71.239999999999995</v>
      </c>
      <c r="W79">
        <v>71.22</v>
      </c>
      <c r="X79">
        <v>71.22</v>
      </c>
      <c r="Y79" s="1">
        <f t="shared" si="3"/>
        <v>0</v>
      </c>
      <c r="Z79" t="str">
        <f t="shared" si="2"/>
        <v/>
      </c>
    </row>
    <row r="80" spans="9:26" x14ac:dyDescent="0.25">
      <c r="I80">
        <v>70</v>
      </c>
      <c r="J80" t="s">
        <v>410</v>
      </c>
      <c r="K80">
        <v>3130</v>
      </c>
      <c r="L80">
        <v>5</v>
      </c>
      <c r="M80" t="s">
        <v>0</v>
      </c>
      <c r="N80" t="s">
        <v>411</v>
      </c>
      <c r="O80" t="s">
        <v>412</v>
      </c>
      <c r="P80" t="s">
        <v>413</v>
      </c>
      <c r="Q80">
        <v>1</v>
      </c>
      <c r="R80">
        <v>1</v>
      </c>
      <c r="S80">
        <v>0</v>
      </c>
      <c r="T80">
        <v>3135</v>
      </c>
      <c r="W80">
        <v>3130</v>
      </c>
      <c r="X80">
        <v>3130</v>
      </c>
      <c r="Y80" s="1">
        <f t="shared" si="3"/>
        <v>0</v>
      </c>
      <c r="Z80" t="str">
        <f t="shared" si="2"/>
        <v/>
      </c>
    </row>
    <row r="81" spans="9:26" x14ac:dyDescent="0.25">
      <c r="I81">
        <v>71</v>
      </c>
      <c r="J81" t="s">
        <v>414</v>
      </c>
      <c r="K81">
        <v>2470</v>
      </c>
      <c r="L81">
        <v>10</v>
      </c>
      <c r="M81" t="s">
        <v>0</v>
      </c>
      <c r="N81" t="s">
        <v>415</v>
      </c>
      <c r="O81" t="s">
        <v>416</v>
      </c>
      <c r="P81" t="s">
        <v>417</v>
      </c>
      <c r="Q81">
        <v>1</v>
      </c>
      <c r="R81">
        <v>1</v>
      </c>
      <c r="S81">
        <v>0</v>
      </c>
      <c r="T81">
        <v>2450</v>
      </c>
      <c r="W81">
        <v>2470</v>
      </c>
      <c r="X81">
        <v>2470</v>
      </c>
      <c r="Y81" s="1">
        <f t="shared" si="3"/>
        <v>0</v>
      </c>
      <c r="Z81" t="str">
        <f t="shared" si="2"/>
        <v/>
      </c>
    </row>
    <row r="82" spans="9:26" x14ac:dyDescent="0.25">
      <c r="I82">
        <v>72</v>
      </c>
      <c r="J82" t="s">
        <v>418</v>
      </c>
      <c r="K82">
        <v>11.76</v>
      </c>
      <c r="L82">
        <v>0.02</v>
      </c>
      <c r="M82" t="s">
        <v>0</v>
      </c>
      <c r="N82" t="s">
        <v>419</v>
      </c>
      <c r="O82" t="s">
        <v>420</v>
      </c>
      <c r="P82" t="s">
        <v>421</v>
      </c>
      <c r="Q82">
        <v>10</v>
      </c>
      <c r="R82">
        <v>1</v>
      </c>
      <c r="S82">
        <v>2</v>
      </c>
      <c r="T82">
        <v>11.72</v>
      </c>
      <c r="W82">
        <v>11.76</v>
      </c>
      <c r="X82">
        <v>11.76</v>
      </c>
      <c r="Y82" s="1">
        <f t="shared" si="3"/>
        <v>0</v>
      </c>
      <c r="Z82" t="str">
        <f t="shared" si="2"/>
        <v/>
      </c>
    </row>
    <row r="83" spans="9:26" x14ac:dyDescent="0.25">
      <c r="I83">
        <v>73</v>
      </c>
      <c r="J83" t="s">
        <v>422</v>
      </c>
      <c r="K83">
        <v>5.94</v>
      </c>
      <c r="L83">
        <v>5.0000000000000001E-3</v>
      </c>
      <c r="M83" t="s">
        <v>0</v>
      </c>
      <c r="N83" t="s">
        <v>423</v>
      </c>
      <c r="O83" t="s">
        <v>424</v>
      </c>
      <c r="P83" t="s">
        <v>425</v>
      </c>
      <c r="Q83">
        <v>1000</v>
      </c>
      <c r="R83">
        <v>0.1</v>
      </c>
      <c r="S83">
        <v>3</v>
      </c>
      <c r="T83">
        <v>5.8949999999999996</v>
      </c>
      <c r="W83">
        <v>5.94</v>
      </c>
      <c r="X83">
        <v>5.94</v>
      </c>
      <c r="Y83" s="1">
        <f t="shared" si="3"/>
        <v>0</v>
      </c>
      <c r="Z83" t="str">
        <f t="shared" si="2"/>
        <v/>
      </c>
    </row>
    <row r="84" spans="9:26" x14ac:dyDescent="0.25">
      <c r="I84">
        <v>74</v>
      </c>
      <c r="J84" t="s">
        <v>426</v>
      </c>
      <c r="K84">
        <v>3870</v>
      </c>
      <c r="L84">
        <v>5</v>
      </c>
      <c r="M84" t="s">
        <v>0</v>
      </c>
      <c r="N84" t="s">
        <v>427</v>
      </c>
      <c r="O84" t="s">
        <v>428</v>
      </c>
      <c r="P84" t="s">
        <v>429</v>
      </c>
      <c r="Q84">
        <v>1</v>
      </c>
      <c r="R84">
        <v>1000</v>
      </c>
      <c r="S84">
        <v>0</v>
      </c>
      <c r="T84">
        <v>3865</v>
      </c>
      <c r="W84">
        <v>3870</v>
      </c>
      <c r="X84">
        <v>3870</v>
      </c>
      <c r="Y84" s="1">
        <f t="shared" si="3"/>
        <v>0</v>
      </c>
      <c r="Z84" t="str">
        <f t="shared" si="2"/>
        <v/>
      </c>
    </row>
    <row r="85" spans="9:26" x14ac:dyDescent="0.25">
      <c r="I85">
        <v>75</v>
      </c>
      <c r="J85" t="s">
        <v>430</v>
      </c>
      <c r="K85">
        <v>12.3</v>
      </c>
      <c r="L85">
        <v>0.01</v>
      </c>
      <c r="M85" t="s">
        <v>0</v>
      </c>
      <c r="N85" t="s">
        <v>431</v>
      </c>
      <c r="O85" t="s">
        <v>432</v>
      </c>
      <c r="P85" t="s">
        <v>433</v>
      </c>
      <c r="Q85">
        <v>100</v>
      </c>
      <c r="R85">
        <v>0.01</v>
      </c>
      <c r="S85">
        <v>2</v>
      </c>
      <c r="T85">
        <v>11.87</v>
      </c>
      <c r="W85">
        <v>12.3</v>
      </c>
      <c r="X85">
        <v>12.3</v>
      </c>
      <c r="Y85" s="1">
        <f t="shared" si="3"/>
        <v>0</v>
      </c>
      <c r="Z85" t="str">
        <f t="shared" si="2"/>
        <v/>
      </c>
    </row>
    <row r="86" spans="9:26" x14ac:dyDescent="0.25">
      <c r="I86">
        <v>76</v>
      </c>
      <c r="J86" t="s">
        <v>434</v>
      </c>
      <c r="K86">
        <v>58.8</v>
      </c>
      <c r="L86">
        <v>0.1</v>
      </c>
      <c r="M86" t="s">
        <v>0</v>
      </c>
      <c r="N86" t="s">
        <v>435</v>
      </c>
      <c r="O86" t="s">
        <v>436</v>
      </c>
      <c r="P86" t="s">
        <v>437</v>
      </c>
      <c r="Q86">
        <v>10</v>
      </c>
      <c r="R86">
        <v>1</v>
      </c>
      <c r="S86">
        <v>1</v>
      </c>
      <c r="T86">
        <v>57.5</v>
      </c>
      <c r="W86">
        <v>58.8</v>
      </c>
      <c r="X86">
        <v>58.8</v>
      </c>
      <c r="Y86" s="1">
        <f t="shared" si="3"/>
        <v>0</v>
      </c>
      <c r="Z86" t="str">
        <f t="shared" si="2"/>
        <v/>
      </c>
    </row>
    <row r="87" spans="9:26" x14ac:dyDescent="0.25">
      <c r="I87">
        <v>77</v>
      </c>
      <c r="J87" t="s">
        <v>438</v>
      </c>
      <c r="K87">
        <v>625.5</v>
      </c>
      <c r="L87">
        <v>0.5</v>
      </c>
      <c r="M87" t="s">
        <v>0</v>
      </c>
      <c r="N87" t="s">
        <v>439</v>
      </c>
      <c r="O87" t="s">
        <v>440</v>
      </c>
      <c r="P87" t="s">
        <v>441</v>
      </c>
      <c r="Q87">
        <v>1</v>
      </c>
      <c r="R87">
        <v>100</v>
      </c>
      <c r="S87">
        <v>1</v>
      </c>
      <c r="T87">
        <v>634.5</v>
      </c>
      <c r="W87">
        <v>625.5</v>
      </c>
      <c r="X87">
        <v>625.5</v>
      </c>
      <c r="Y87" s="1">
        <f t="shared" si="3"/>
        <v>0</v>
      </c>
      <c r="Z87" t="str">
        <f t="shared" si="2"/>
        <v/>
      </c>
    </row>
    <row r="88" spans="9:26" x14ac:dyDescent="0.25">
      <c r="I88">
        <v>78</v>
      </c>
      <c r="J88" t="s">
        <v>442</v>
      </c>
      <c r="K88">
        <v>1655</v>
      </c>
      <c r="L88">
        <v>1</v>
      </c>
      <c r="M88" t="s">
        <v>0</v>
      </c>
      <c r="N88" t="s">
        <v>443</v>
      </c>
      <c r="O88" t="s">
        <v>444</v>
      </c>
      <c r="P88" t="s">
        <v>445</v>
      </c>
      <c r="Q88">
        <v>1</v>
      </c>
      <c r="R88">
        <v>1000</v>
      </c>
      <c r="S88">
        <v>0</v>
      </c>
      <c r="T88">
        <v>1659</v>
      </c>
      <c r="W88">
        <v>1655</v>
      </c>
      <c r="X88">
        <v>1655</v>
      </c>
      <c r="Y88" s="1">
        <f t="shared" si="3"/>
        <v>0</v>
      </c>
      <c r="Z88" t="str">
        <f t="shared" si="2"/>
        <v/>
      </c>
    </row>
    <row r="89" spans="9:26" x14ac:dyDescent="0.25">
      <c r="I89">
        <v>79</v>
      </c>
      <c r="J89" t="s">
        <v>446</v>
      </c>
      <c r="K89">
        <v>64.760000000000005</v>
      </c>
      <c r="L89">
        <v>0.02</v>
      </c>
      <c r="M89" t="s">
        <v>0</v>
      </c>
      <c r="N89" t="s">
        <v>447</v>
      </c>
      <c r="O89" t="s">
        <v>448</v>
      </c>
      <c r="P89" t="s">
        <v>449</v>
      </c>
      <c r="Q89">
        <v>100</v>
      </c>
      <c r="R89">
        <v>3</v>
      </c>
      <c r="S89">
        <v>2</v>
      </c>
      <c r="T89">
        <v>64.739999999999995</v>
      </c>
      <c r="W89">
        <v>64.760000000000005</v>
      </c>
      <c r="X89">
        <v>64.760000000000005</v>
      </c>
      <c r="Y89" s="1">
        <f t="shared" si="3"/>
        <v>0</v>
      </c>
      <c r="Z89" t="str">
        <f t="shared" si="2"/>
        <v/>
      </c>
    </row>
    <row r="90" spans="9:26" x14ac:dyDescent="0.25">
      <c r="I90">
        <v>80</v>
      </c>
      <c r="J90" t="s">
        <v>450</v>
      </c>
      <c r="K90">
        <v>3840</v>
      </c>
      <c r="L90">
        <v>2</v>
      </c>
      <c r="M90" t="s">
        <v>0</v>
      </c>
      <c r="N90" t="s">
        <v>451</v>
      </c>
      <c r="O90" t="s">
        <v>452</v>
      </c>
      <c r="P90" t="s">
        <v>453</v>
      </c>
      <c r="Q90">
        <v>1</v>
      </c>
      <c r="R90">
        <v>1000</v>
      </c>
      <c r="S90">
        <v>0</v>
      </c>
      <c r="T90">
        <v>3864</v>
      </c>
      <c r="W90">
        <v>3840</v>
      </c>
      <c r="X90">
        <v>3840</v>
      </c>
      <c r="Y90" s="1">
        <f t="shared" si="3"/>
        <v>0</v>
      </c>
      <c r="Z90" t="str">
        <f t="shared" si="2"/>
        <v/>
      </c>
    </row>
    <row r="91" spans="9:26" x14ac:dyDescent="0.25">
      <c r="I91">
        <v>81</v>
      </c>
      <c r="J91" t="s">
        <v>454</v>
      </c>
      <c r="K91">
        <v>5284</v>
      </c>
      <c r="L91">
        <v>2</v>
      </c>
      <c r="M91" t="s">
        <v>0</v>
      </c>
      <c r="N91" t="s">
        <v>455</v>
      </c>
      <c r="O91" t="s">
        <v>456</v>
      </c>
      <c r="P91" t="s">
        <v>457</v>
      </c>
      <c r="Q91">
        <v>1</v>
      </c>
      <c r="R91">
        <v>1000</v>
      </c>
      <c r="S91">
        <v>0</v>
      </c>
      <c r="T91">
        <v>5296</v>
      </c>
      <c r="W91">
        <v>5284</v>
      </c>
      <c r="X91">
        <v>5284</v>
      </c>
      <c r="Y91" s="1">
        <f t="shared" si="3"/>
        <v>0</v>
      </c>
      <c r="Z91" t="str">
        <f t="shared" si="2"/>
        <v/>
      </c>
    </row>
    <row r="92" spans="9:26" x14ac:dyDescent="0.25">
      <c r="I92">
        <v>82</v>
      </c>
      <c r="J92" t="s">
        <v>458</v>
      </c>
      <c r="K92">
        <v>3.8344999999999998</v>
      </c>
      <c r="L92">
        <v>5.0000000000000001E-4</v>
      </c>
      <c r="M92" t="s">
        <v>0</v>
      </c>
      <c r="N92" t="s">
        <v>22</v>
      </c>
      <c r="O92" t="s">
        <v>23</v>
      </c>
      <c r="P92" t="s">
        <v>24</v>
      </c>
      <c r="Q92">
        <v>100</v>
      </c>
      <c r="R92">
        <v>2.8097669999999999</v>
      </c>
      <c r="S92">
        <v>4</v>
      </c>
      <c r="T92">
        <v>3.8340000000000001</v>
      </c>
      <c r="W92">
        <v>3.8344999999999998</v>
      </c>
      <c r="X92">
        <v>3.8344999999999998</v>
      </c>
      <c r="Y92" s="1">
        <f t="shared" si="3"/>
        <v>0</v>
      </c>
      <c r="Z92" t="str">
        <f t="shared" si="2"/>
        <v/>
      </c>
    </row>
    <row r="93" spans="9:26" x14ac:dyDescent="0.25">
      <c r="I93">
        <v>83</v>
      </c>
      <c r="J93" t="s">
        <v>459</v>
      </c>
      <c r="K93">
        <v>177.9</v>
      </c>
      <c r="L93">
        <v>0.1</v>
      </c>
      <c r="M93" t="s">
        <v>0</v>
      </c>
      <c r="N93" t="s">
        <v>460</v>
      </c>
      <c r="O93" t="s">
        <v>461</v>
      </c>
      <c r="P93" t="s">
        <v>462</v>
      </c>
      <c r="Q93">
        <v>10</v>
      </c>
      <c r="R93">
        <v>50</v>
      </c>
      <c r="S93">
        <v>1</v>
      </c>
      <c r="T93">
        <v>173.8</v>
      </c>
      <c r="W93">
        <v>177.9</v>
      </c>
      <c r="X93">
        <v>177.9</v>
      </c>
      <c r="Y93" s="1">
        <f t="shared" si="3"/>
        <v>0</v>
      </c>
      <c r="Z93" t="str">
        <f t="shared" si="2"/>
        <v/>
      </c>
    </row>
    <row r="94" spans="9:26" x14ac:dyDescent="0.25">
      <c r="I94">
        <v>84</v>
      </c>
      <c r="J94" t="s">
        <v>463</v>
      </c>
      <c r="K94">
        <v>1351</v>
      </c>
      <c r="L94">
        <v>1</v>
      </c>
      <c r="M94" t="s">
        <v>0</v>
      </c>
      <c r="N94" t="s">
        <v>464</v>
      </c>
      <c r="O94" t="s">
        <v>465</v>
      </c>
      <c r="P94" t="s">
        <v>466</v>
      </c>
      <c r="Q94">
        <v>1</v>
      </c>
      <c r="R94">
        <v>250</v>
      </c>
      <c r="S94">
        <v>0</v>
      </c>
      <c r="T94">
        <v>1361</v>
      </c>
      <c r="W94">
        <v>1351</v>
      </c>
      <c r="X94">
        <v>1351</v>
      </c>
      <c r="Y94" s="1">
        <f t="shared" si="3"/>
        <v>0</v>
      </c>
      <c r="Z94" t="str">
        <f t="shared" si="2"/>
        <v/>
      </c>
    </row>
    <row r="95" spans="9:26" x14ac:dyDescent="0.25">
      <c r="I95">
        <v>85</v>
      </c>
      <c r="J95" t="s">
        <v>467</v>
      </c>
      <c r="K95">
        <v>0.752</v>
      </c>
      <c r="L95">
        <v>2E-3</v>
      </c>
      <c r="M95" t="s">
        <v>0</v>
      </c>
      <c r="N95" t="s">
        <v>468</v>
      </c>
      <c r="O95" t="s">
        <v>469</v>
      </c>
      <c r="P95" t="s">
        <v>470</v>
      </c>
      <c r="Q95">
        <v>1000</v>
      </c>
      <c r="R95">
        <v>0.04</v>
      </c>
      <c r="S95">
        <v>3</v>
      </c>
      <c r="T95">
        <v>0.752</v>
      </c>
      <c r="W95">
        <v>0.752</v>
      </c>
      <c r="X95">
        <v>0.752</v>
      </c>
      <c r="Y95" s="1">
        <f t="shared" si="3"/>
        <v>0</v>
      </c>
      <c r="Z95" t="str">
        <f t="shared" si="2"/>
        <v/>
      </c>
    </row>
    <row r="96" spans="9:26" x14ac:dyDescent="0.25">
      <c r="I96">
        <v>86</v>
      </c>
      <c r="J96" t="s">
        <v>471</v>
      </c>
      <c r="K96">
        <v>0.3115</v>
      </c>
      <c r="L96">
        <v>5.0000000000000001E-4</v>
      </c>
      <c r="M96" t="s">
        <v>0</v>
      </c>
      <c r="N96" t="s">
        <v>468</v>
      </c>
      <c r="O96" t="s">
        <v>472</v>
      </c>
      <c r="P96" t="s">
        <v>473</v>
      </c>
      <c r="Q96">
        <v>10000</v>
      </c>
      <c r="R96">
        <v>0.04</v>
      </c>
      <c r="S96">
        <v>4</v>
      </c>
      <c r="T96">
        <v>0.3085</v>
      </c>
      <c r="W96">
        <v>0.3115</v>
      </c>
      <c r="X96">
        <v>0.3115</v>
      </c>
      <c r="Y96" s="1">
        <f t="shared" si="3"/>
        <v>0</v>
      </c>
      <c r="Z96" t="str">
        <f t="shared" si="2"/>
        <v/>
      </c>
    </row>
    <row r="97" spans="9:26" x14ac:dyDescent="0.25">
      <c r="I97">
        <v>87</v>
      </c>
      <c r="J97" t="s">
        <v>474</v>
      </c>
      <c r="K97">
        <v>19.39</v>
      </c>
      <c r="L97">
        <v>0.01</v>
      </c>
      <c r="M97" t="s">
        <v>0</v>
      </c>
      <c r="N97" t="s">
        <v>475</v>
      </c>
      <c r="O97" t="s">
        <v>476</v>
      </c>
      <c r="P97" t="s">
        <v>477</v>
      </c>
      <c r="Q97">
        <v>100</v>
      </c>
      <c r="R97">
        <v>0.2</v>
      </c>
      <c r="S97">
        <v>2</v>
      </c>
      <c r="T97">
        <v>19.27</v>
      </c>
      <c r="W97">
        <v>19.39</v>
      </c>
      <c r="X97">
        <v>19.39</v>
      </c>
      <c r="Y97" s="1">
        <f t="shared" si="3"/>
        <v>0</v>
      </c>
      <c r="Z97" t="str">
        <f t="shared" si="2"/>
        <v/>
      </c>
    </row>
    <row r="98" spans="9:26" x14ac:dyDescent="0.25">
      <c r="I98">
        <v>88</v>
      </c>
      <c r="J98" t="s">
        <v>478</v>
      </c>
      <c r="K98">
        <v>0.24</v>
      </c>
      <c r="L98">
        <v>5.0000000000000001E-4</v>
      </c>
      <c r="M98" t="s">
        <v>0</v>
      </c>
      <c r="N98" t="s">
        <v>479</v>
      </c>
      <c r="O98" t="s">
        <v>480</v>
      </c>
      <c r="P98" t="s">
        <v>481</v>
      </c>
      <c r="Q98">
        <v>10000</v>
      </c>
      <c r="R98">
        <v>0.1</v>
      </c>
      <c r="S98">
        <v>4</v>
      </c>
      <c r="T98">
        <v>0.23649999999999999</v>
      </c>
      <c r="W98">
        <v>0.24</v>
      </c>
      <c r="X98">
        <v>0.24</v>
      </c>
      <c r="Y98" s="1">
        <f t="shared" si="3"/>
        <v>0</v>
      </c>
      <c r="Z98" t="str">
        <f t="shared" si="2"/>
        <v/>
      </c>
    </row>
    <row r="99" spans="9:26" x14ac:dyDescent="0.25">
      <c r="I99">
        <v>89</v>
      </c>
      <c r="J99" t="s">
        <v>482</v>
      </c>
      <c r="K99">
        <v>0.38800000000000001</v>
      </c>
      <c r="L99">
        <v>1E-3</v>
      </c>
      <c r="M99" t="s">
        <v>0</v>
      </c>
      <c r="N99" t="s">
        <v>483</v>
      </c>
      <c r="O99" t="s">
        <v>484</v>
      </c>
      <c r="P99" t="s">
        <v>485</v>
      </c>
      <c r="Q99">
        <v>10000</v>
      </c>
      <c r="R99">
        <v>0.1</v>
      </c>
      <c r="S99">
        <v>3</v>
      </c>
      <c r="T99">
        <v>0.38500000000000001</v>
      </c>
      <c r="W99">
        <v>0.38800000000000001</v>
      </c>
      <c r="X99">
        <v>0.38800000000000001</v>
      </c>
      <c r="Y99" s="1">
        <f t="shared" si="3"/>
        <v>0</v>
      </c>
      <c r="Z99" t="str">
        <f t="shared" si="2"/>
        <v/>
      </c>
    </row>
    <row r="100" spans="9:26" x14ac:dyDescent="0.25">
      <c r="I100">
        <v>90</v>
      </c>
      <c r="J100" t="s">
        <v>486</v>
      </c>
      <c r="K100">
        <v>43600</v>
      </c>
      <c r="L100">
        <v>200</v>
      </c>
      <c r="M100" t="s">
        <v>0</v>
      </c>
      <c r="N100" t="s">
        <v>487</v>
      </c>
      <c r="O100" t="s">
        <v>488</v>
      </c>
      <c r="P100" t="s">
        <v>489</v>
      </c>
      <c r="Q100">
        <v>1</v>
      </c>
      <c r="R100">
        <v>1</v>
      </c>
      <c r="S100">
        <v>0</v>
      </c>
      <c r="T100">
        <v>43600</v>
      </c>
      <c r="W100">
        <v>43600</v>
      </c>
      <c r="X100">
        <v>43600</v>
      </c>
      <c r="Y100" s="1">
        <f t="shared" si="3"/>
        <v>0</v>
      </c>
      <c r="Z100" t="str">
        <f t="shared" si="2"/>
        <v/>
      </c>
    </row>
    <row r="101" spans="9:26" x14ac:dyDescent="0.25">
      <c r="I101">
        <v>91</v>
      </c>
      <c r="J101" t="s">
        <v>490</v>
      </c>
      <c r="K101">
        <v>239.5</v>
      </c>
      <c r="L101">
        <v>0.5</v>
      </c>
      <c r="M101" t="s">
        <v>0</v>
      </c>
      <c r="N101" t="s">
        <v>491</v>
      </c>
      <c r="O101" t="s">
        <v>492</v>
      </c>
      <c r="P101" t="s">
        <v>493</v>
      </c>
      <c r="Q101">
        <v>10</v>
      </c>
      <c r="R101">
        <v>1</v>
      </c>
      <c r="S101">
        <v>1</v>
      </c>
      <c r="T101">
        <v>234</v>
      </c>
      <c r="W101">
        <v>239.5</v>
      </c>
      <c r="X101">
        <v>239.5</v>
      </c>
      <c r="Y101" s="1">
        <f t="shared" si="3"/>
        <v>0</v>
      </c>
      <c r="Z101" t="str">
        <f t="shared" si="2"/>
        <v/>
      </c>
    </row>
    <row r="102" spans="9:26" x14ac:dyDescent="0.25">
      <c r="I102">
        <v>92</v>
      </c>
      <c r="J102" t="s">
        <v>494</v>
      </c>
      <c r="K102">
        <v>823.5</v>
      </c>
      <c r="L102">
        <v>0.5</v>
      </c>
      <c r="M102" t="s">
        <v>0</v>
      </c>
      <c r="N102" t="s">
        <v>495</v>
      </c>
      <c r="O102" t="s">
        <v>496</v>
      </c>
      <c r="P102" t="s">
        <v>497</v>
      </c>
      <c r="Q102">
        <v>10</v>
      </c>
      <c r="R102">
        <v>1</v>
      </c>
      <c r="S102">
        <v>1</v>
      </c>
      <c r="T102">
        <v>808.5</v>
      </c>
      <c r="W102">
        <v>823.5</v>
      </c>
      <c r="X102">
        <v>823.5</v>
      </c>
      <c r="Y102" s="1">
        <f t="shared" si="3"/>
        <v>0</v>
      </c>
      <c r="Z102" t="str">
        <f t="shared" si="2"/>
        <v/>
      </c>
    </row>
    <row r="103" spans="9:26" x14ac:dyDescent="0.25">
      <c r="I103">
        <v>93</v>
      </c>
      <c r="J103" t="s">
        <v>498</v>
      </c>
      <c r="K103">
        <v>2223.5</v>
      </c>
      <c r="L103">
        <v>0.5</v>
      </c>
      <c r="M103" t="s">
        <v>0</v>
      </c>
      <c r="N103" t="s">
        <v>499</v>
      </c>
      <c r="O103" t="s">
        <v>500</v>
      </c>
      <c r="P103" t="s">
        <v>501</v>
      </c>
      <c r="Q103">
        <v>10</v>
      </c>
      <c r="R103">
        <v>1</v>
      </c>
      <c r="S103">
        <v>1</v>
      </c>
      <c r="T103">
        <v>2060</v>
      </c>
      <c r="W103">
        <v>2223.5</v>
      </c>
      <c r="X103">
        <v>2223.5</v>
      </c>
      <c r="Y103" s="1">
        <f t="shared" si="3"/>
        <v>0</v>
      </c>
      <c r="Z103" t="str">
        <f t="shared" si="2"/>
        <v/>
      </c>
    </row>
    <row r="104" spans="9:26" x14ac:dyDescent="0.25">
      <c r="I104">
        <v>94</v>
      </c>
      <c r="J104" t="s">
        <v>502</v>
      </c>
      <c r="K104">
        <v>11.14</v>
      </c>
      <c r="L104">
        <v>0.01</v>
      </c>
      <c r="M104" t="s">
        <v>0</v>
      </c>
      <c r="N104" t="s">
        <v>503</v>
      </c>
      <c r="O104" t="s">
        <v>504</v>
      </c>
      <c r="P104" t="s">
        <v>505</v>
      </c>
      <c r="Q104">
        <v>100</v>
      </c>
      <c r="R104">
        <v>0.02</v>
      </c>
      <c r="S104">
        <v>2</v>
      </c>
      <c r="T104">
        <v>11.23</v>
      </c>
      <c r="W104">
        <v>11.14</v>
      </c>
      <c r="X104">
        <v>11.14</v>
      </c>
      <c r="Y104" s="1">
        <f t="shared" si="3"/>
        <v>0</v>
      </c>
      <c r="Z104" t="str">
        <f t="shared" si="2"/>
        <v/>
      </c>
    </row>
    <row r="105" spans="9:26" x14ac:dyDescent="0.25">
      <c r="I105">
        <v>95</v>
      </c>
      <c r="J105" t="s">
        <v>506</v>
      </c>
      <c r="K105">
        <v>11.2</v>
      </c>
      <c r="L105">
        <v>0.02</v>
      </c>
      <c r="M105" t="s">
        <v>0</v>
      </c>
      <c r="N105" t="s">
        <v>507</v>
      </c>
      <c r="O105" t="s">
        <v>508</v>
      </c>
      <c r="P105" t="s">
        <v>509</v>
      </c>
      <c r="Q105">
        <v>100</v>
      </c>
      <c r="R105">
        <v>0.02</v>
      </c>
      <c r="S105">
        <v>2</v>
      </c>
      <c r="T105">
        <v>11.34</v>
      </c>
      <c r="W105">
        <v>11.2</v>
      </c>
      <c r="X105">
        <v>11.2</v>
      </c>
      <c r="Y105" s="1">
        <f t="shared" si="3"/>
        <v>0</v>
      </c>
      <c r="Z105" t="str">
        <f t="shared" si="2"/>
        <v/>
      </c>
    </row>
    <row r="106" spans="9:26" x14ac:dyDescent="0.25">
      <c r="I106">
        <v>96</v>
      </c>
      <c r="J106" t="s">
        <v>510</v>
      </c>
      <c r="K106">
        <v>4.2450000000000002E-2</v>
      </c>
      <c r="L106">
        <v>1.0000000000000001E-5</v>
      </c>
      <c r="M106" t="s">
        <v>0</v>
      </c>
      <c r="N106" t="s">
        <v>511</v>
      </c>
      <c r="O106" t="s">
        <v>512</v>
      </c>
      <c r="P106" t="s">
        <v>513</v>
      </c>
      <c r="Q106">
        <v>10000</v>
      </c>
      <c r="R106">
        <v>0.01</v>
      </c>
      <c r="S106">
        <v>5</v>
      </c>
      <c r="T106">
        <v>4.199E-2</v>
      </c>
      <c r="W106">
        <v>4.2450000000000002E-2</v>
      </c>
      <c r="X106">
        <v>4.2450000000000002E-2</v>
      </c>
      <c r="Y106" s="1">
        <f t="shared" si="3"/>
        <v>0</v>
      </c>
      <c r="Z106" t="str">
        <f t="shared" si="2"/>
        <v/>
      </c>
    </row>
    <row r="107" spans="9:26" x14ac:dyDescent="0.25">
      <c r="I107">
        <v>97</v>
      </c>
      <c r="J107" t="s">
        <v>514</v>
      </c>
      <c r="K107">
        <v>681.4</v>
      </c>
      <c r="L107">
        <v>0.2</v>
      </c>
      <c r="M107" t="s">
        <v>0</v>
      </c>
      <c r="N107" t="s">
        <v>515</v>
      </c>
      <c r="O107" t="s">
        <v>516</v>
      </c>
      <c r="P107" t="s">
        <v>517</v>
      </c>
      <c r="Q107">
        <v>10</v>
      </c>
      <c r="R107">
        <v>1</v>
      </c>
      <c r="S107">
        <v>1</v>
      </c>
      <c r="T107">
        <v>670</v>
      </c>
      <c r="W107">
        <v>681.4</v>
      </c>
      <c r="X107">
        <v>681.4</v>
      </c>
      <c r="Y107" s="1">
        <f t="shared" si="3"/>
        <v>0</v>
      </c>
      <c r="Z107" t="str">
        <f t="shared" si="2"/>
        <v/>
      </c>
    </row>
    <row r="108" spans="9:26" x14ac:dyDescent="0.25">
      <c r="I108">
        <v>98</v>
      </c>
      <c r="J108" t="s">
        <v>518</v>
      </c>
      <c r="K108">
        <v>685.8</v>
      </c>
      <c r="L108">
        <v>0.2</v>
      </c>
      <c r="M108" t="s">
        <v>0</v>
      </c>
      <c r="N108" t="s">
        <v>519</v>
      </c>
      <c r="O108" t="s">
        <v>520</v>
      </c>
      <c r="P108" t="s">
        <v>521</v>
      </c>
      <c r="Q108">
        <v>10</v>
      </c>
      <c r="R108">
        <v>1</v>
      </c>
      <c r="S108">
        <v>1</v>
      </c>
      <c r="T108">
        <v>676.2</v>
      </c>
      <c r="W108">
        <v>685.8</v>
      </c>
      <c r="X108">
        <v>685.8</v>
      </c>
      <c r="Y108" s="1">
        <f t="shared" si="3"/>
        <v>0</v>
      </c>
      <c r="Z108" t="str">
        <f t="shared" si="2"/>
        <v/>
      </c>
    </row>
    <row r="109" spans="9:26" x14ac:dyDescent="0.25">
      <c r="I109">
        <v>99</v>
      </c>
      <c r="J109" t="s">
        <v>522</v>
      </c>
      <c r="K109">
        <v>44.4</v>
      </c>
      <c r="L109">
        <v>0.2</v>
      </c>
      <c r="M109" t="s">
        <v>0</v>
      </c>
      <c r="N109" t="s">
        <v>523</v>
      </c>
      <c r="O109" t="s">
        <v>524</v>
      </c>
      <c r="P109" t="s">
        <v>525</v>
      </c>
      <c r="Q109">
        <v>10</v>
      </c>
      <c r="R109">
        <v>7.2</v>
      </c>
      <c r="S109">
        <v>1</v>
      </c>
      <c r="T109">
        <v>41.8</v>
      </c>
      <c r="W109">
        <v>44.4</v>
      </c>
      <c r="X109">
        <v>44.4</v>
      </c>
      <c r="Y109" s="1">
        <f t="shared" si="3"/>
        <v>0</v>
      </c>
      <c r="Z109" t="str">
        <f t="shared" si="2"/>
        <v/>
      </c>
    </row>
    <row r="110" spans="9:26" x14ac:dyDescent="0.25">
      <c r="I110">
        <v>100</v>
      </c>
      <c r="J110" t="s">
        <v>526</v>
      </c>
      <c r="K110">
        <v>51.8</v>
      </c>
      <c r="L110">
        <v>0.2</v>
      </c>
      <c r="M110" t="s">
        <v>0</v>
      </c>
      <c r="N110" t="s">
        <v>527</v>
      </c>
      <c r="O110" t="s">
        <v>528</v>
      </c>
      <c r="P110" t="s">
        <v>529</v>
      </c>
      <c r="Q110">
        <v>10</v>
      </c>
      <c r="R110">
        <v>7.2</v>
      </c>
      <c r="S110">
        <v>1</v>
      </c>
      <c r="T110">
        <v>47.6</v>
      </c>
      <c r="W110">
        <v>51.8</v>
      </c>
      <c r="X110">
        <v>51.8</v>
      </c>
      <c r="Y110" s="1">
        <f t="shared" si="3"/>
        <v>0</v>
      </c>
      <c r="Z110" t="str">
        <f t="shared" si="2"/>
        <v/>
      </c>
    </row>
    <row r="111" spans="9:26" x14ac:dyDescent="0.25">
      <c r="I111">
        <v>101</v>
      </c>
      <c r="J111" t="s">
        <v>530</v>
      </c>
      <c r="K111">
        <v>517.4</v>
      </c>
      <c r="L111">
        <v>0.2</v>
      </c>
      <c r="M111" t="s">
        <v>0</v>
      </c>
      <c r="N111" t="s">
        <v>25</v>
      </c>
      <c r="O111" t="s">
        <v>26</v>
      </c>
      <c r="P111" t="s">
        <v>27</v>
      </c>
      <c r="Q111">
        <v>1</v>
      </c>
      <c r="R111">
        <v>0.25</v>
      </c>
      <c r="S111">
        <v>1</v>
      </c>
      <c r="T111">
        <v>513.79999999999995</v>
      </c>
      <c r="W111">
        <v>517.4</v>
      </c>
      <c r="X111">
        <v>517.4</v>
      </c>
      <c r="Y111" s="1">
        <f t="shared" si="3"/>
        <v>0</v>
      </c>
      <c r="Z111" t="str">
        <f t="shared" si="2"/>
        <v/>
      </c>
    </row>
    <row r="112" spans="9:26" x14ac:dyDescent="0.25">
      <c r="I112">
        <v>102</v>
      </c>
      <c r="J112" t="s">
        <v>531</v>
      </c>
      <c r="K112">
        <v>4605.5</v>
      </c>
      <c r="L112">
        <v>0.5</v>
      </c>
      <c r="M112" t="s">
        <v>0</v>
      </c>
      <c r="N112" t="s">
        <v>28</v>
      </c>
      <c r="O112" t="s">
        <v>29</v>
      </c>
      <c r="P112" t="s">
        <v>30</v>
      </c>
      <c r="Q112">
        <v>1</v>
      </c>
      <c r="R112">
        <v>2.5000000000000001E-2</v>
      </c>
      <c r="S112">
        <v>1</v>
      </c>
      <c r="T112">
        <v>4585</v>
      </c>
      <c r="W112">
        <v>4605.5</v>
      </c>
      <c r="X112">
        <v>4605.5</v>
      </c>
      <c r="Y112" s="1">
        <f t="shared" si="3"/>
        <v>0</v>
      </c>
      <c r="Z112" t="str">
        <f t="shared" si="2"/>
        <v/>
      </c>
    </row>
    <row r="113" spans="9:26" x14ac:dyDescent="0.25">
      <c r="I113">
        <v>103</v>
      </c>
      <c r="J113" t="s">
        <v>532</v>
      </c>
      <c r="K113">
        <v>13.4</v>
      </c>
      <c r="L113">
        <v>0.05</v>
      </c>
      <c r="M113" t="s">
        <v>0</v>
      </c>
      <c r="N113" t="s">
        <v>533</v>
      </c>
      <c r="O113" t="s">
        <v>534</v>
      </c>
      <c r="P113" t="s">
        <v>535</v>
      </c>
      <c r="Q113">
        <v>100</v>
      </c>
      <c r="R113">
        <v>0.22</v>
      </c>
      <c r="S113">
        <v>2</v>
      </c>
      <c r="T113">
        <v>13.5</v>
      </c>
      <c r="W113">
        <v>13.4</v>
      </c>
      <c r="X113">
        <v>13.4</v>
      </c>
      <c r="Y113" s="1">
        <f t="shared" si="3"/>
        <v>0</v>
      </c>
      <c r="Z113" t="str">
        <f t="shared" si="2"/>
        <v/>
      </c>
    </row>
    <row r="114" spans="9:26" x14ac:dyDescent="0.25">
      <c r="I114">
        <v>104</v>
      </c>
      <c r="J114" t="s">
        <v>536</v>
      </c>
      <c r="K114">
        <v>17.100000000000001</v>
      </c>
      <c r="L114">
        <v>0.01</v>
      </c>
      <c r="M114" t="s">
        <v>0</v>
      </c>
      <c r="N114" t="s">
        <v>537</v>
      </c>
      <c r="O114" t="s">
        <v>538</v>
      </c>
      <c r="P114" t="s">
        <v>539</v>
      </c>
      <c r="Q114">
        <v>100</v>
      </c>
      <c r="R114">
        <v>10</v>
      </c>
      <c r="S114">
        <v>2</v>
      </c>
      <c r="T114">
        <v>16.850000000000001</v>
      </c>
      <c r="W114">
        <v>17.100000000000001</v>
      </c>
      <c r="X114">
        <v>17.100000000000001</v>
      </c>
      <c r="Y114" s="1">
        <f t="shared" si="3"/>
        <v>0</v>
      </c>
      <c r="Z114" t="str">
        <f t="shared" si="2"/>
        <v/>
      </c>
    </row>
    <row r="115" spans="9:26" x14ac:dyDescent="0.25">
      <c r="I115">
        <v>105</v>
      </c>
      <c r="J115" t="s">
        <v>540</v>
      </c>
      <c r="K115">
        <v>3580</v>
      </c>
      <c r="L115">
        <v>5</v>
      </c>
      <c r="M115" t="s">
        <v>0</v>
      </c>
      <c r="N115" t="s">
        <v>541</v>
      </c>
      <c r="O115" t="s">
        <v>542</v>
      </c>
      <c r="P115" t="s">
        <v>543</v>
      </c>
      <c r="Q115">
        <v>1</v>
      </c>
      <c r="R115">
        <v>1</v>
      </c>
      <c r="S115">
        <v>0</v>
      </c>
      <c r="T115">
        <v>3540</v>
      </c>
      <c r="W115">
        <v>3580</v>
      </c>
      <c r="X115">
        <v>3580</v>
      </c>
      <c r="Y115" s="1">
        <f t="shared" si="3"/>
        <v>0</v>
      </c>
      <c r="Z115" t="str">
        <f t="shared" si="2"/>
        <v/>
      </c>
    </row>
    <row r="116" spans="9:26" x14ac:dyDescent="0.25">
      <c r="I116">
        <v>106</v>
      </c>
      <c r="J116" t="s">
        <v>544</v>
      </c>
      <c r="K116">
        <v>17220</v>
      </c>
      <c r="L116">
        <v>10</v>
      </c>
      <c r="M116" t="s">
        <v>0</v>
      </c>
      <c r="N116" t="s">
        <v>545</v>
      </c>
      <c r="O116" t="s">
        <v>546</v>
      </c>
      <c r="P116" t="s">
        <v>547</v>
      </c>
      <c r="Q116">
        <v>1</v>
      </c>
      <c r="R116">
        <v>1</v>
      </c>
      <c r="S116">
        <v>0</v>
      </c>
      <c r="T116">
        <v>17220</v>
      </c>
      <c r="W116">
        <v>17220</v>
      </c>
      <c r="X116">
        <v>17220</v>
      </c>
      <c r="Y116" s="1">
        <f t="shared" si="3"/>
        <v>0</v>
      </c>
      <c r="Z116" t="str">
        <f t="shared" si="2"/>
        <v/>
      </c>
    </row>
    <row r="117" spans="9:26" x14ac:dyDescent="0.25">
      <c r="I117">
        <v>107</v>
      </c>
      <c r="J117" t="s">
        <v>548</v>
      </c>
      <c r="K117">
        <v>750.5</v>
      </c>
      <c r="L117">
        <v>0.5</v>
      </c>
      <c r="M117" t="s">
        <v>0</v>
      </c>
      <c r="N117" t="s">
        <v>549</v>
      </c>
      <c r="O117" t="s">
        <v>550</v>
      </c>
      <c r="P117" t="s">
        <v>551</v>
      </c>
      <c r="Q117">
        <v>1</v>
      </c>
      <c r="R117">
        <v>9.1263200000000003E-2</v>
      </c>
      <c r="S117">
        <v>1</v>
      </c>
      <c r="T117">
        <v>755</v>
      </c>
      <c r="W117">
        <v>750.5</v>
      </c>
      <c r="X117">
        <v>750.5</v>
      </c>
      <c r="Y117" s="1">
        <f t="shared" si="3"/>
        <v>0</v>
      </c>
      <c r="Z117" t="str">
        <f t="shared" si="2"/>
        <v/>
      </c>
    </row>
    <row r="118" spans="9:26" x14ac:dyDescent="0.25">
      <c r="I118">
        <v>108</v>
      </c>
      <c r="J118" t="s">
        <v>552</v>
      </c>
      <c r="K118">
        <v>187.8</v>
      </c>
      <c r="L118">
        <v>0.1</v>
      </c>
      <c r="M118" t="s">
        <v>0</v>
      </c>
      <c r="N118" t="s">
        <v>31</v>
      </c>
      <c r="O118" t="s">
        <v>32</v>
      </c>
      <c r="P118" t="s">
        <v>33</v>
      </c>
      <c r="Q118">
        <v>1</v>
      </c>
      <c r="R118">
        <v>10</v>
      </c>
      <c r="S118">
        <v>1</v>
      </c>
      <c r="T118">
        <v>188.6</v>
      </c>
      <c r="W118">
        <v>187.8</v>
      </c>
      <c r="X118">
        <v>187.8</v>
      </c>
      <c r="Y118" s="1">
        <f t="shared" si="3"/>
        <v>0</v>
      </c>
      <c r="Z118" t="str">
        <f t="shared" si="2"/>
        <v/>
      </c>
    </row>
    <row r="119" spans="9:26" x14ac:dyDescent="0.25">
      <c r="I119">
        <v>109</v>
      </c>
      <c r="J119" t="s">
        <v>553</v>
      </c>
      <c r="K119">
        <v>1440</v>
      </c>
      <c r="L119">
        <v>2</v>
      </c>
      <c r="M119" t="s">
        <v>0</v>
      </c>
      <c r="N119" t="s">
        <v>554</v>
      </c>
      <c r="O119" t="s">
        <v>555</v>
      </c>
      <c r="P119" t="s">
        <v>556</v>
      </c>
      <c r="Q119">
        <v>1</v>
      </c>
      <c r="R119">
        <v>40</v>
      </c>
      <c r="S119">
        <v>0</v>
      </c>
      <c r="T119">
        <v>1434</v>
      </c>
      <c r="W119">
        <v>1440</v>
      </c>
      <c r="X119">
        <v>1440</v>
      </c>
      <c r="Y119" s="1">
        <f t="shared" si="3"/>
        <v>0</v>
      </c>
      <c r="Z119" t="str">
        <f t="shared" si="2"/>
        <v/>
      </c>
    </row>
    <row r="120" spans="9:26" x14ac:dyDescent="0.25">
      <c r="I120">
        <v>110</v>
      </c>
      <c r="J120" t="s">
        <v>557</v>
      </c>
      <c r="K120">
        <v>2035</v>
      </c>
      <c r="L120">
        <v>5</v>
      </c>
      <c r="M120" t="s">
        <v>0</v>
      </c>
      <c r="N120" t="s">
        <v>558</v>
      </c>
      <c r="O120" t="s">
        <v>559</v>
      </c>
      <c r="P120" t="s">
        <v>560</v>
      </c>
      <c r="Q120">
        <v>1</v>
      </c>
      <c r="R120">
        <v>40</v>
      </c>
      <c r="S120">
        <v>0</v>
      </c>
      <c r="T120">
        <v>1990</v>
      </c>
      <c r="W120">
        <v>2035</v>
      </c>
      <c r="X120">
        <v>2035</v>
      </c>
      <c r="Y120" s="1">
        <f t="shared" si="3"/>
        <v>0</v>
      </c>
      <c r="Z120" t="str">
        <f t="shared" si="2"/>
        <v/>
      </c>
    </row>
    <row r="121" spans="9:26" x14ac:dyDescent="0.25">
      <c r="I121">
        <v>111</v>
      </c>
      <c r="J121" t="s">
        <v>561</v>
      </c>
      <c r="K121">
        <v>6.9340000000000002</v>
      </c>
      <c r="L121">
        <v>1E-3</v>
      </c>
      <c r="M121" t="s">
        <v>0</v>
      </c>
      <c r="N121" t="s">
        <v>34</v>
      </c>
      <c r="O121" t="s">
        <v>35</v>
      </c>
      <c r="P121" t="s">
        <v>36</v>
      </c>
      <c r="Q121">
        <v>100</v>
      </c>
      <c r="R121">
        <v>1</v>
      </c>
      <c r="S121">
        <v>3</v>
      </c>
      <c r="T121">
        <v>6.9290000000000003</v>
      </c>
      <c r="W121">
        <v>6.9340000000000002</v>
      </c>
      <c r="X121">
        <v>6.9340000000000002</v>
      </c>
      <c r="Y121" s="1">
        <f t="shared" si="3"/>
        <v>0</v>
      </c>
      <c r="Z121" t="str">
        <f t="shared" si="2"/>
        <v/>
      </c>
    </row>
    <row r="122" spans="9:26" x14ac:dyDescent="0.25">
      <c r="I122">
        <v>112</v>
      </c>
      <c r="J122" t="s">
        <v>562</v>
      </c>
      <c r="K122">
        <v>39.965000000000003</v>
      </c>
      <c r="L122">
        <v>5.0000000000000001E-3</v>
      </c>
      <c r="M122" t="s">
        <v>0</v>
      </c>
      <c r="N122" t="s">
        <v>37</v>
      </c>
      <c r="O122" t="s">
        <v>38</v>
      </c>
      <c r="P122" t="s">
        <v>39</v>
      </c>
      <c r="Q122">
        <v>10</v>
      </c>
      <c r="R122">
        <v>1</v>
      </c>
      <c r="S122">
        <v>3</v>
      </c>
      <c r="T122">
        <v>40.42</v>
      </c>
      <c r="W122">
        <v>39.965000000000003</v>
      </c>
      <c r="X122">
        <v>39.965000000000003</v>
      </c>
      <c r="Y122" s="1">
        <f t="shared" si="3"/>
        <v>0</v>
      </c>
      <c r="Z122" t="str">
        <f t="shared" si="2"/>
        <v/>
      </c>
    </row>
    <row r="123" spans="9:26" x14ac:dyDescent="0.25">
      <c r="I123">
        <v>113</v>
      </c>
      <c r="J123" t="s">
        <v>563</v>
      </c>
      <c r="K123">
        <v>0.2082</v>
      </c>
      <c r="L123">
        <v>2.0000000000000001E-4</v>
      </c>
      <c r="M123" t="s">
        <v>0</v>
      </c>
      <c r="N123" t="s">
        <v>564</v>
      </c>
      <c r="O123" t="s">
        <v>565</v>
      </c>
      <c r="P123" t="s">
        <v>566</v>
      </c>
      <c r="Q123">
        <v>10000</v>
      </c>
      <c r="R123">
        <v>0.1</v>
      </c>
      <c r="S123">
        <v>4</v>
      </c>
      <c r="T123">
        <v>0.2054</v>
      </c>
      <c r="W123">
        <v>0.2082</v>
      </c>
      <c r="X123">
        <v>0.2082</v>
      </c>
      <c r="Y123" s="1">
        <f t="shared" si="3"/>
        <v>0</v>
      </c>
      <c r="Z123" t="str">
        <f t="shared" si="2"/>
        <v/>
      </c>
    </row>
    <row r="124" spans="9:26" x14ac:dyDescent="0.25">
      <c r="I124">
        <v>114</v>
      </c>
      <c r="J124" t="s">
        <v>567</v>
      </c>
      <c r="K124">
        <v>255.7</v>
      </c>
      <c r="L124">
        <v>0.05</v>
      </c>
      <c r="M124" t="s">
        <v>0</v>
      </c>
      <c r="N124" t="s">
        <v>40</v>
      </c>
      <c r="O124" t="s">
        <v>41</v>
      </c>
      <c r="P124" t="s">
        <v>42</v>
      </c>
      <c r="Q124">
        <v>10</v>
      </c>
      <c r="R124">
        <v>0.1</v>
      </c>
      <c r="S124">
        <v>2</v>
      </c>
      <c r="T124">
        <v>255.75</v>
      </c>
      <c r="W124">
        <v>255.7</v>
      </c>
      <c r="X124">
        <v>255.7</v>
      </c>
      <c r="Y124" s="1">
        <f t="shared" si="3"/>
        <v>0</v>
      </c>
      <c r="Z124" t="str">
        <f t="shared" si="2"/>
        <v/>
      </c>
    </row>
    <row r="125" spans="9:26" x14ac:dyDescent="0.25">
      <c r="I125">
        <v>115</v>
      </c>
      <c r="J125" t="s">
        <v>568</v>
      </c>
      <c r="K125">
        <v>5.54</v>
      </c>
      <c r="L125">
        <v>0.01</v>
      </c>
      <c r="M125" t="s">
        <v>0</v>
      </c>
      <c r="N125" t="s">
        <v>569</v>
      </c>
      <c r="O125" t="s">
        <v>570</v>
      </c>
      <c r="P125" t="s">
        <v>571</v>
      </c>
      <c r="Q125">
        <v>100</v>
      </c>
      <c r="R125">
        <v>1</v>
      </c>
      <c r="S125">
        <v>2</v>
      </c>
      <c r="T125">
        <v>5.41</v>
      </c>
      <c r="W125">
        <v>5.54</v>
      </c>
      <c r="X125">
        <v>5.54</v>
      </c>
      <c r="Y125" s="1">
        <f t="shared" si="3"/>
        <v>0</v>
      </c>
      <c r="Z125" t="str">
        <f t="shared" si="2"/>
        <v/>
      </c>
    </row>
    <row r="126" spans="9:26" x14ac:dyDescent="0.25">
      <c r="I126">
        <v>116</v>
      </c>
      <c r="J126" t="s">
        <v>572</v>
      </c>
      <c r="K126">
        <v>3.84</v>
      </c>
      <c r="L126">
        <v>0.01</v>
      </c>
      <c r="M126" t="s">
        <v>0</v>
      </c>
      <c r="N126" t="s">
        <v>573</v>
      </c>
      <c r="O126" t="s">
        <v>574</v>
      </c>
      <c r="P126" t="s">
        <v>575</v>
      </c>
      <c r="Q126">
        <v>100</v>
      </c>
      <c r="R126">
        <v>1</v>
      </c>
      <c r="S126">
        <v>2</v>
      </c>
      <c r="T126">
        <v>3.7</v>
      </c>
      <c r="W126">
        <v>3.84</v>
      </c>
      <c r="X126">
        <v>3.84</v>
      </c>
      <c r="Y126" s="1">
        <f t="shared" si="3"/>
        <v>0</v>
      </c>
      <c r="Z126" t="str">
        <f t="shared" si="2"/>
        <v/>
      </c>
    </row>
    <row r="127" spans="9:26" x14ac:dyDescent="0.25">
      <c r="I127">
        <v>117</v>
      </c>
      <c r="J127" t="s">
        <v>576</v>
      </c>
      <c r="K127">
        <v>4576.5</v>
      </c>
      <c r="L127">
        <v>0.5</v>
      </c>
      <c r="M127" t="s">
        <v>0</v>
      </c>
      <c r="N127" t="s">
        <v>43</v>
      </c>
      <c r="O127" t="s">
        <v>44</v>
      </c>
      <c r="P127" t="s">
        <v>45</v>
      </c>
      <c r="Q127">
        <v>1</v>
      </c>
      <c r="R127">
        <v>0.01</v>
      </c>
      <c r="S127">
        <v>1</v>
      </c>
      <c r="T127">
        <v>4571.5</v>
      </c>
      <c r="W127">
        <v>4576.5</v>
      </c>
      <c r="X127">
        <v>4576.5</v>
      </c>
      <c r="Y127" s="1">
        <f t="shared" si="3"/>
        <v>0</v>
      </c>
      <c r="Z127" t="str">
        <f t="shared" si="2"/>
        <v/>
      </c>
    </row>
    <row r="128" spans="9:26" x14ac:dyDescent="0.25">
      <c r="I128">
        <v>118</v>
      </c>
      <c r="J128" t="s">
        <v>577</v>
      </c>
      <c r="K128">
        <v>381.5</v>
      </c>
      <c r="L128">
        <v>0.5</v>
      </c>
      <c r="M128" t="s">
        <v>0</v>
      </c>
      <c r="N128" t="s">
        <v>578</v>
      </c>
      <c r="O128" t="s">
        <v>579</v>
      </c>
      <c r="P128" t="s">
        <v>580</v>
      </c>
      <c r="Q128">
        <v>10</v>
      </c>
      <c r="R128">
        <v>25</v>
      </c>
      <c r="S128">
        <v>1</v>
      </c>
      <c r="T128">
        <v>380.5</v>
      </c>
      <c r="W128">
        <v>381.5</v>
      </c>
      <c r="X128">
        <v>381.5</v>
      </c>
      <c r="Y128" s="1">
        <f t="shared" si="3"/>
        <v>0</v>
      </c>
      <c r="Z128" t="str">
        <f t="shared" si="2"/>
        <v/>
      </c>
    </row>
    <row r="129" spans="9:26" x14ac:dyDescent="0.25">
      <c r="I129">
        <v>119</v>
      </c>
      <c r="J129" t="s">
        <v>581</v>
      </c>
      <c r="K129">
        <v>267</v>
      </c>
      <c r="L129">
        <v>0.5</v>
      </c>
      <c r="M129" t="s">
        <v>0</v>
      </c>
      <c r="N129" t="s">
        <v>582</v>
      </c>
      <c r="O129" t="s">
        <v>583</v>
      </c>
      <c r="P129" t="s">
        <v>584</v>
      </c>
      <c r="Q129">
        <v>10</v>
      </c>
      <c r="R129">
        <v>25</v>
      </c>
      <c r="S129">
        <v>1</v>
      </c>
      <c r="T129">
        <v>269</v>
      </c>
      <c r="W129">
        <v>267</v>
      </c>
      <c r="X129">
        <v>267</v>
      </c>
      <c r="Y129" s="1">
        <f t="shared" si="3"/>
        <v>0</v>
      </c>
      <c r="Z129" t="str">
        <f t="shared" si="2"/>
        <v/>
      </c>
    </row>
    <row r="130" spans="9:26" x14ac:dyDescent="0.25">
      <c r="I130">
        <v>120</v>
      </c>
      <c r="J130" t="s">
        <v>585</v>
      </c>
      <c r="K130">
        <v>152.69</v>
      </c>
      <c r="L130">
        <v>0.01</v>
      </c>
      <c r="M130" t="s">
        <v>0</v>
      </c>
      <c r="N130" t="s">
        <v>46</v>
      </c>
      <c r="O130" t="s">
        <v>47</v>
      </c>
      <c r="P130" t="s">
        <v>48</v>
      </c>
      <c r="Q130">
        <v>1</v>
      </c>
      <c r="R130">
        <v>10</v>
      </c>
      <c r="S130">
        <v>2</v>
      </c>
      <c r="T130">
        <v>150.71</v>
      </c>
      <c r="W130">
        <v>152.69</v>
      </c>
      <c r="X130">
        <v>152.69</v>
      </c>
      <c r="Y130" s="1">
        <f t="shared" si="3"/>
        <v>0</v>
      </c>
      <c r="Z130" t="str">
        <f t="shared" si="2"/>
        <v/>
      </c>
    </row>
    <row r="131" spans="9:26" x14ac:dyDescent="0.25">
      <c r="I131">
        <v>121</v>
      </c>
      <c r="J131" t="s">
        <v>586</v>
      </c>
      <c r="K131">
        <v>169.6</v>
      </c>
      <c r="L131">
        <v>0.05</v>
      </c>
      <c r="M131" t="s">
        <v>0</v>
      </c>
      <c r="N131" t="s">
        <v>49</v>
      </c>
      <c r="O131" t="s">
        <v>50</v>
      </c>
      <c r="P131" t="s">
        <v>51</v>
      </c>
      <c r="Q131">
        <v>10</v>
      </c>
      <c r="R131">
        <v>10</v>
      </c>
      <c r="S131">
        <v>2</v>
      </c>
      <c r="T131">
        <v>169.65</v>
      </c>
      <c r="W131">
        <v>169.6</v>
      </c>
      <c r="X131">
        <v>169.6</v>
      </c>
      <c r="Y131" s="1">
        <f t="shared" si="3"/>
        <v>0</v>
      </c>
      <c r="Z131" t="str">
        <f t="shared" si="2"/>
        <v/>
      </c>
    </row>
    <row r="132" spans="9:26" x14ac:dyDescent="0.25">
      <c r="I132">
        <v>122</v>
      </c>
      <c r="J132" t="s">
        <v>587</v>
      </c>
      <c r="K132">
        <v>0.4</v>
      </c>
      <c r="L132">
        <v>1E-3</v>
      </c>
      <c r="M132" t="s">
        <v>0</v>
      </c>
      <c r="N132" t="s">
        <v>588</v>
      </c>
      <c r="O132" t="s">
        <v>589</v>
      </c>
      <c r="P132" t="s">
        <v>590</v>
      </c>
      <c r="Q132">
        <v>10000</v>
      </c>
      <c r="R132">
        <v>1.3599999999999999E-2</v>
      </c>
      <c r="S132">
        <v>3</v>
      </c>
      <c r="T132">
        <v>0.40200000000000002</v>
      </c>
      <c r="W132">
        <v>0.4</v>
      </c>
      <c r="X132">
        <v>0.4</v>
      </c>
      <c r="Y132" s="1">
        <f t="shared" si="3"/>
        <v>0</v>
      </c>
      <c r="Z132" t="str">
        <f t="shared" ref="Z132:Z195" si="4">IF($Y$8&gt;0.0009,IF($Y$8=Y132,I132,""),"")</f>
        <v/>
      </c>
    </row>
    <row r="133" spans="9:26" x14ac:dyDescent="0.25">
      <c r="I133">
        <v>123</v>
      </c>
      <c r="J133" t="s">
        <v>591</v>
      </c>
      <c r="K133">
        <v>111.65</v>
      </c>
      <c r="L133">
        <v>0.01</v>
      </c>
      <c r="M133" t="s">
        <v>0</v>
      </c>
      <c r="N133" t="s">
        <v>52</v>
      </c>
      <c r="O133" t="s">
        <v>53</v>
      </c>
      <c r="P133" t="s">
        <v>54</v>
      </c>
      <c r="Q133">
        <v>10</v>
      </c>
      <c r="R133">
        <v>1</v>
      </c>
      <c r="S133">
        <v>2</v>
      </c>
      <c r="T133">
        <v>112.07</v>
      </c>
      <c r="W133">
        <v>111.65</v>
      </c>
      <c r="X133">
        <v>111.65</v>
      </c>
      <c r="Y133" s="1">
        <f t="shared" si="3"/>
        <v>0</v>
      </c>
      <c r="Z133" t="str">
        <f t="shared" si="4"/>
        <v/>
      </c>
    </row>
    <row r="134" spans="9:26" x14ac:dyDescent="0.25">
      <c r="I134">
        <v>124</v>
      </c>
      <c r="J134" t="s">
        <v>592</v>
      </c>
      <c r="K134">
        <v>264.8</v>
      </c>
      <c r="L134">
        <v>0.05</v>
      </c>
      <c r="M134" t="s">
        <v>0</v>
      </c>
      <c r="N134" t="s">
        <v>593</v>
      </c>
      <c r="O134" t="s">
        <v>594</v>
      </c>
      <c r="P134" t="s">
        <v>595</v>
      </c>
      <c r="Q134">
        <v>10</v>
      </c>
      <c r="R134">
        <v>0.14000000000000001</v>
      </c>
      <c r="S134">
        <v>2</v>
      </c>
      <c r="T134">
        <v>260</v>
      </c>
      <c r="W134">
        <v>264.8</v>
      </c>
      <c r="X134">
        <v>264.8</v>
      </c>
      <c r="Y134" s="1">
        <f t="shared" si="3"/>
        <v>0</v>
      </c>
      <c r="Z134" t="str">
        <f t="shared" si="4"/>
        <v/>
      </c>
    </row>
    <row r="135" spans="9:26" x14ac:dyDescent="0.25">
      <c r="I135">
        <v>125</v>
      </c>
      <c r="J135" t="s">
        <v>596</v>
      </c>
      <c r="K135">
        <v>387.5</v>
      </c>
      <c r="L135">
        <v>0.5</v>
      </c>
      <c r="M135" t="s">
        <v>0</v>
      </c>
      <c r="N135" t="s">
        <v>597</v>
      </c>
      <c r="O135" t="s">
        <v>598</v>
      </c>
      <c r="P135" t="s">
        <v>599</v>
      </c>
      <c r="Q135">
        <v>10</v>
      </c>
      <c r="R135">
        <v>1</v>
      </c>
      <c r="S135">
        <v>1</v>
      </c>
      <c r="T135">
        <v>381</v>
      </c>
      <c r="W135">
        <v>387.5</v>
      </c>
      <c r="X135">
        <v>387.5</v>
      </c>
      <c r="Y135" s="1">
        <f t="shared" si="3"/>
        <v>0</v>
      </c>
      <c r="Z135" t="str">
        <f t="shared" si="4"/>
        <v/>
      </c>
    </row>
    <row r="136" spans="9:26" x14ac:dyDescent="0.25">
      <c r="I136">
        <v>126</v>
      </c>
      <c r="J136" t="s">
        <v>600</v>
      </c>
      <c r="K136">
        <v>122.15</v>
      </c>
      <c r="L136">
        <v>0.05</v>
      </c>
      <c r="M136" t="s">
        <v>0</v>
      </c>
      <c r="N136" t="s">
        <v>601</v>
      </c>
      <c r="O136" t="s">
        <v>602</v>
      </c>
      <c r="P136" t="s">
        <v>603</v>
      </c>
      <c r="Q136">
        <v>10</v>
      </c>
      <c r="R136">
        <v>1</v>
      </c>
      <c r="S136">
        <v>2</v>
      </c>
      <c r="T136">
        <v>122</v>
      </c>
      <c r="W136">
        <v>122.15</v>
      </c>
      <c r="X136">
        <v>122.15</v>
      </c>
      <c r="Y136" s="1">
        <f t="shared" si="3"/>
        <v>0</v>
      </c>
      <c r="Z136" t="str">
        <f t="shared" si="4"/>
        <v/>
      </c>
    </row>
    <row r="137" spans="9:26" x14ac:dyDescent="0.25">
      <c r="I137">
        <v>127</v>
      </c>
      <c r="J137" t="s">
        <v>604</v>
      </c>
      <c r="K137">
        <v>95.16</v>
      </c>
      <c r="L137">
        <v>0.02</v>
      </c>
      <c r="M137" t="s">
        <v>0</v>
      </c>
      <c r="N137" t="s">
        <v>605</v>
      </c>
      <c r="O137" t="s">
        <v>606</v>
      </c>
      <c r="P137" t="s">
        <v>607</v>
      </c>
      <c r="Q137">
        <v>10</v>
      </c>
      <c r="R137">
        <v>1</v>
      </c>
      <c r="S137">
        <v>2</v>
      </c>
      <c r="T137">
        <v>95.52</v>
      </c>
      <c r="W137">
        <v>95.16</v>
      </c>
      <c r="X137">
        <v>95.16</v>
      </c>
      <c r="Y137" s="1">
        <f t="shared" si="3"/>
        <v>0</v>
      </c>
      <c r="Z137" t="str">
        <f t="shared" si="4"/>
        <v/>
      </c>
    </row>
    <row r="138" spans="9:26" x14ac:dyDescent="0.25">
      <c r="I138">
        <v>128</v>
      </c>
      <c r="J138" t="s">
        <v>608</v>
      </c>
      <c r="K138">
        <v>401</v>
      </c>
      <c r="L138">
        <v>0.5</v>
      </c>
      <c r="M138" t="s">
        <v>0</v>
      </c>
      <c r="N138" t="s">
        <v>609</v>
      </c>
      <c r="O138" t="s">
        <v>610</v>
      </c>
      <c r="P138" t="s">
        <v>611</v>
      </c>
      <c r="Q138">
        <v>10</v>
      </c>
      <c r="R138">
        <v>1</v>
      </c>
      <c r="S138">
        <v>1</v>
      </c>
      <c r="T138">
        <v>392</v>
      </c>
      <c r="W138">
        <v>401</v>
      </c>
      <c r="X138">
        <v>401</v>
      </c>
      <c r="Y138" s="1">
        <f t="shared" si="3"/>
        <v>0</v>
      </c>
      <c r="Z138" t="str">
        <f t="shared" si="4"/>
        <v/>
      </c>
    </row>
    <row r="139" spans="9:26" x14ac:dyDescent="0.25">
      <c r="I139">
        <v>129</v>
      </c>
      <c r="J139" t="s">
        <v>612</v>
      </c>
      <c r="K139">
        <v>128.94</v>
      </c>
      <c r="L139">
        <v>0.02</v>
      </c>
      <c r="M139" t="s">
        <v>0</v>
      </c>
      <c r="N139" t="s">
        <v>55</v>
      </c>
      <c r="O139" t="s">
        <v>56</v>
      </c>
      <c r="P139" t="s">
        <v>57</v>
      </c>
      <c r="Q139">
        <v>10</v>
      </c>
      <c r="R139">
        <v>1</v>
      </c>
      <c r="S139">
        <v>2</v>
      </c>
      <c r="T139">
        <v>131.34</v>
      </c>
      <c r="W139">
        <v>128.94</v>
      </c>
      <c r="X139">
        <v>128.94</v>
      </c>
      <c r="Y139" s="1">
        <f t="shared" si="3"/>
        <v>0</v>
      </c>
      <c r="Z139" t="str">
        <f t="shared" si="4"/>
        <v/>
      </c>
    </row>
    <row r="140" spans="9:26" x14ac:dyDescent="0.25">
      <c r="I140">
        <v>130</v>
      </c>
      <c r="J140" t="s">
        <v>613</v>
      </c>
      <c r="K140">
        <v>6.68</v>
      </c>
      <c r="L140">
        <v>5.0000000000000001E-3</v>
      </c>
      <c r="M140" t="s">
        <v>0</v>
      </c>
      <c r="N140" t="s">
        <v>614</v>
      </c>
      <c r="O140" t="s">
        <v>615</v>
      </c>
      <c r="P140" t="s">
        <v>616</v>
      </c>
      <c r="Q140">
        <v>100</v>
      </c>
      <c r="R140">
        <v>0.01</v>
      </c>
      <c r="S140">
        <v>3</v>
      </c>
      <c r="T140">
        <v>6.6349999999999998</v>
      </c>
      <c r="W140">
        <v>6.68</v>
      </c>
      <c r="X140">
        <v>6.68</v>
      </c>
      <c r="Y140" s="1">
        <f t="shared" ref="Y140:Y203" si="5">IFERROR(ABS((W140-X140)/X140),0)</f>
        <v>0</v>
      </c>
      <c r="Z140" t="str">
        <f t="shared" si="4"/>
        <v/>
      </c>
    </row>
    <row r="141" spans="9:26" x14ac:dyDescent="0.25">
      <c r="I141">
        <v>131</v>
      </c>
      <c r="J141" t="s">
        <v>617</v>
      </c>
      <c r="K141">
        <v>33.56</v>
      </c>
      <c r="L141">
        <v>0.02</v>
      </c>
      <c r="M141" t="s">
        <v>0</v>
      </c>
      <c r="N141" t="s">
        <v>618</v>
      </c>
      <c r="O141" t="s">
        <v>619</v>
      </c>
      <c r="P141" t="s">
        <v>620</v>
      </c>
      <c r="Q141">
        <v>100</v>
      </c>
      <c r="R141">
        <v>1</v>
      </c>
      <c r="S141">
        <v>2</v>
      </c>
      <c r="T141">
        <v>33.6</v>
      </c>
      <c r="W141">
        <v>33.56</v>
      </c>
      <c r="X141">
        <v>33.56</v>
      </c>
      <c r="Y141" s="1">
        <f t="shared" si="5"/>
        <v>0</v>
      </c>
      <c r="Z141" t="str">
        <f t="shared" si="4"/>
        <v/>
      </c>
    </row>
    <row r="142" spans="9:26" x14ac:dyDescent="0.25">
      <c r="I142">
        <v>132</v>
      </c>
      <c r="J142" t="s">
        <v>621</v>
      </c>
      <c r="K142">
        <v>1207</v>
      </c>
      <c r="L142">
        <v>0.2</v>
      </c>
      <c r="M142" t="s">
        <v>0</v>
      </c>
      <c r="N142" t="s">
        <v>58</v>
      </c>
      <c r="O142" t="s">
        <v>59</v>
      </c>
      <c r="P142" t="s">
        <v>60</v>
      </c>
      <c r="Q142">
        <v>1</v>
      </c>
      <c r="R142">
        <v>0.1</v>
      </c>
      <c r="S142">
        <v>1</v>
      </c>
      <c r="T142">
        <v>1202.8</v>
      </c>
      <c r="W142">
        <v>1207</v>
      </c>
      <c r="X142">
        <v>1207</v>
      </c>
      <c r="Y142" s="1">
        <f t="shared" si="5"/>
        <v>0</v>
      </c>
      <c r="Z142" t="str">
        <f t="shared" si="4"/>
        <v/>
      </c>
    </row>
    <row r="143" spans="9:26" x14ac:dyDescent="0.25">
      <c r="I143">
        <v>133</v>
      </c>
      <c r="J143" t="s">
        <v>622</v>
      </c>
      <c r="K143">
        <v>0.68600000000000005</v>
      </c>
      <c r="L143">
        <v>1E-4</v>
      </c>
      <c r="M143" t="s">
        <v>0</v>
      </c>
      <c r="N143" t="s">
        <v>61</v>
      </c>
      <c r="O143" t="s">
        <v>62</v>
      </c>
      <c r="P143" t="s">
        <v>63</v>
      </c>
      <c r="Q143">
        <v>1000</v>
      </c>
      <c r="R143">
        <v>0.36270000000000002</v>
      </c>
      <c r="S143">
        <v>4</v>
      </c>
      <c r="T143">
        <v>0.69359999999999999</v>
      </c>
      <c r="W143">
        <v>0.68600000000000005</v>
      </c>
      <c r="X143">
        <v>0.68600000000000005</v>
      </c>
      <c r="Y143" s="1">
        <f t="shared" si="5"/>
        <v>0</v>
      </c>
      <c r="Z143" t="str">
        <f t="shared" si="4"/>
        <v/>
      </c>
    </row>
    <row r="144" spans="9:26" x14ac:dyDescent="0.25">
      <c r="I144">
        <v>134</v>
      </c>
      <c r="J144" t="s">
        <v>623</v>
      </c>
      <c r="K144">
        <v>985</v>
      </c>
      <c r="L144">
        <v>5</v>
      </c>
      <c r="M144" t="s">
        <v>0</v>
      </c>
      <c r="N144" t="s">
        <v>624</v>
      </c>
      <c r="O144" t="s">
        <v>625</v>
      </c>
      <c r="P144" t="s">
        <v>626</v>
      </c>
      <c r="Q144">
        <v>1</v>
      </c>
      <c r="R144">
        <v>1000</v>
      </c>
      <c r="S144">
        <v>0</v>
      </c>
      <c r="T144">
        <v>970</v>
      </c>
      <c r="W144">
        <v>985</v>
      </c>
      <c r="X144">
        <v>985</v>
      </c>
      <c r="Y144" s="1">
        <f t="shared" si="5"/>
        <v>0</v>
      </c>
      <c r="Z144" t="str">
        <f t="shared" si="4"/>
        <v/>
      </c>
    </row>
    <row r="145" spans="9:26" x14ac:dyDescent="0.25">
      <c r="I145">
        <v>135</v>
      </c>
      <c r="J145" t="s">
        <v>627</v>
      </c>
      <c r="K145">
        <v>11475</v>
      </c>
      <c r="L145">
        <v>5</v>
      </c>
      <c r="M145" t="s">
        <v>0</v>
      </c>
      <c r="N145" t="s">
        <v>628</v>
      </c>
      <c r="O145" t="s">
        <v>629</v>
      </c>
      <c r="P145" t="s">
        <v>630</v>
      </c>
      <c r="Q145">
        <v>1</v>
      </c>
      <c r="R145">
        <v>0.1</v>
      </c>
      <c r="S145">
        <v>0</v>
      </c>
      <c r="T145">
        <v>11310</v>
      </c>
      <c r="W145">
        <v>11475</v>
      </c>
      <c r="X145">
        <v>11475</v>
      </c>
      <c r="Y145" s="1">
        <f t="shared" si="5"/>
        <v>0</v>
      </c>
      <c r="Z145" t="str">
        <f t="shared" si="4"/>
        <v/>
      </c>
    </row>
    <row r="146" spans="9:26" x14ac:dyDescent="0.25">
      <c r="I146">
        <v>136</v>
      </c>
      <c r="J146" t="s">
        <v>631</v>
      </c>
      <c r="K146">
        <v>108.7</v>
      </c>
      <c r="L146">
        <v>0.1</v>
      </c>
      <c r="M146" t="s">
        <v>0</v>
      </c>
      <c r="N146" t="s">
        <v>632</v>
      </c>
      <c r="O146" t="s">
        <v>633</v>
      </c>
      <c r="P146" t="s">
        <v>634</v>
      </c>
      <c r="Q146">
        <v>10</v>
      </c>
      <c r="R146">
        <v>1</v>
      </c>
      <c r="S146">
        <v>1</v>
      </c>
      <c r="T146">
        <v>106</v>
      </c>
      <c r="W146">
        <v>108.7</v>
      </c>
      <c r="X146">
        <v>108.7</v>
      </c>
      <c r="Y146" s="1">
        <f t="shared" si="5"/>
        <v>0</v>
      </c>
      <c r="Z146" t="str">
        <f t="shared" si="4"/>
        <v/>
      </c>
    </row>
    <row r="147" spans="9:26" x14ac:dyDescent="0.25">
      <c r="I147">
        <v>137</v>
      </c>
      <c r="J147" t="s">
        <v>635</v>
      </c>
      <c r="K147">
        <v>32.89</v>
      </c>
      <c r="L147">
        <v>0.01</v>
      </c>
      <c r="M147" t="s">
        <v>0</v>
      </c>
      <c r="N147" t="s">
        <v>636</v>
      </c>
      <c r="O147" t="s">
        <v>637</v>
      </c>
      <c r="P147" t="s">
        <v>638</v>
      </c>
      <c r="Q147">
        <v>10</v>
      </c>
      <c r="R147">
        <v>1</v>
      </c>
      <c r="S147">
        <v>2</v>
      </c>
      <c r="T147">
        <v>32.64</v>
      </c>
      <c r="W147">
        <v>32.89</v>
      </c>
      <c r="X147">
        <v>32.89</v>
      </c>
      <c r="Y147" s="1">
        <f t="shared" si="5"/>
        <v>0</v>
      </c>
      <c r="Z147" t="str">
        <f t="shared" si="4"/>
        <v/>
      </c>
    </row>
    <row r="148" spans="9:26" x14ac:dyDescent="0.25">
      <c r="I148">
        <v>138</v>
      </c>
      <c r="J148" t="s">
        <v>639</v>
      </c>
      <c r="K148">
        <v>653.29999999999995</v>
      </c>
      <c r="L148">
        <v>0.1</v>
      </c>
      <c r="M148" t="s">
        <v>0</v>
      </c>
      <c r="N148" t="s">
        <v>64</v>
      </c>
      <c r="O148" t="s">
        <v>65</v>
      </c>
      <c r="P148" t="s">
        <v>66</v>
      </c>
      <c r="Q148">
        <v>1</v>
      </c>
      <c r="R148">
        <v>62.5</v>
      </c>
      <c r="S148">
        <v>1</v>
      </c>
      <c r="T148">
        <v>656.4</v>
      </c>
      <c r="W148">
        <v>653.29999999999995</v>
      </c>
      <c r="X148">
        <v>653.29999999999995</v>
      </c>
      <c r="Y148" s="1">
        <f t="shared" si="5"/>
        <v>0</v>
      </c>
      <c r="Z148" t="str">
        <f t="shared" si="4"/>
        <v/>
      </c>
    </row>
    <row r="149" spans="9:26" x14ac:dyDescent="0.25">
      <c r="I149">
        <v>139</v>
      </c>
      <c r="J149" t="s">
        <v>640</v>
      </c>
      <c r="K149">
        <v>6940</v>
      </c>
      <c r="L149">
        <v>20</v>
      </c>
      <c r="M149" t="s">
        <v>0</v>
      </c>
      <c r="N149" t="s">
        <v>641</v>
      </c>
      <c r="O149" t="s">
        <v>642</v>
      </c>
      <c r="P149" t="s">
        <v>643</v>
      </c>
      <c r="Q149">
        <v>1</v>
      </c>
      <c r="R149">
        <v>415</v>
      </c>
      <c r="S149">
        <v>0</v>
      </c>
      <c r="T149">
        <v>6920</v>
      </c>
      <c r="W149">
        <v>6940</v>
      </c>
      <c r="X149">
        <v>6940</v>
      </c>
      <c r="Y149" s="1">
        <f t="shared" si="5"/>
        <v>0</v>
      </c>
      <c r="Z149" t="str">
        <f t="shared" si="4"/>
        <v/>
      </c>
    </row>
    <row r="150" spans="9:26" x14ac:dyDescent="0.25">
      <c r="I150">
        <v>140</v>
      </c>
      <c r="J150" t="s">
        <v>644</v>
      </c>
      <c r="K150">
        <v>168</v>
      </c>
      <c r="L150">
        <v>0.2</v>
      </c>
      <c r="M150" t="s">
        <v>0</v>
      </c>
      <c r="N150" t="s">
        <v>645</v>
      </c>
      <c r="O150" t="s">
        <v>646</v>
      </c>
      <c r="P150" t="s">
        <v>647</v>
      </c>
      <c r="Q150">
        <v>10</v>
      </c>
      <c r="R150">
        <v>3.25</v>
      </c>
      <c r="S150">
        <v>1</v>
      </c>
      <c r="T150">
        <v>166.4</v>
      </c>
      <c r="W150">
        <v>168</v>
      </c>
      <c r="X150">
        <v>168</v>
      </c>
      <c r="Y150" s="1">
        <f t="shared" si="5"/>
        <v>0</v>
      </c>
      <c r="Z150" t="str">
        <f t="shared" si="4"/>
        <v/>
      </c>
    </row>
    <row r="151" spans="9:26" x14ac:dyDescent="0.25">
      <c r="I151">
        <v>141</v>
      </c>
      <c r="J151" t="s">
        <v>648</v>
      </c>
      <c r="K151">
        <v>157.5</v>
      </c>
      <c r="L151">
        <v>0.1</v>
      </c>
      <c r="M151" t="s">
        <v>0</v>
      </c>
      <c r="N151" t="s">
        <v>649</v>
      </c>
      <c r="O151" t="s">
        <v>650</v>
      </c>
      <c r="P151" t="s">
        <v>651</v>
      </c>
      <c r="Q151">
        <v>10</v>
      </c>
      <c r="R151">
        <v>3.25</v>
      </c>
      <c r="S151">
        <v>1</v>
      </c>
      <c r="T151">
        <v>154.69999999999999</v>
      </c>
      <c r="W151">
        <v>157.5</v>
      </c>
      <c r="X151">
        <v>157.5</v>
      </c>
      <c r="Y151" s="1">
        <f t="shared" si="5"/>
        <v>0</v>
      </c>
      <c r="Z151" t="str">
        <f t="shared" si="4"/>
        <v/>
      </c>
    </row>
    <row r="152" spans="9:26" x14ac:dyDescent="0.25">
      <c r="I152">
        <v>142</v>
      </c>
      <c r="J152" t="s">
        <v>652</v>
      </c>
      <c r="K152">
        <v>9600</v>
      </c>
      <c r="L152">
        <v>0.5</v>
      </c>
      <c r="M152" t="s">
        <v>0</v>
      </c>
      <c r="N152" t="s">
        <v>67</v>
      </c>
      <c r="O152" t="s">
        <v>68</v>
      </c>
      <c r="P152" t="s">
        <v>69</v>
      </c>
      <c r="Q152">
        <v>1</v>
      </c>
      <c r="R152">
        <v>1</v>
      </c>
      <c r="S152">
        <v>1</v>
      </c>
      <c r="T152">
        <v>9589.5</v>
      </c>
      <c r="W152">
        <v>9600</v>
      </c>
      <c r="X152">
        <v>9600</v>
      </c>
      <c r="Y152" s="1">
        <f t="shared" si="5"/>
        <v>0</v>
      </c>
      <c r="Z152" t="str">
        <f t="shared" si="4"/>
        <v/>
      </c>
    </row>
    <row r="153" spans="9:26" x14ac:dyDescent="0.25">
      <c r="I153">
        <v>143</v>
      </c>
      <c r="J153" t="s">
        <v>653</v>
      </c>
      <c r="K153">
        <v>36400</v>
      </c>
      <c r="L153">
        <v>200</v>
      </c>
      <c r="M153" t="s">
        <v>0</v>
      </c>
      <c r="N153" t="s">
        <v>654</v>
      </c>
      <c r="O153" t="s">
        <v>655</v>
      </c>
      <c r="P153" t="s">
        <v>656</v>
      </c>
      <c r="Q153">
        <v>1</v>
      </c>
      <c r="R153">
        <v>1000</v>
      </c>
      <c r="S153">
        <v>0</v>
      </c>
      <c r="T153">
        <v>36600</v>
      </c>
      <c r="W153">
        <v>36400</v>
      </c>
      <c r="X153">
        <v>36400</v>
      </c>
      <c r="Y153" s="1">
        <f t="shared" si="5"/>
        <v>0</v>
      </c>
      <c r="Z153" t="str">
        <f t="shared" si="4"/>
        <v/>
      </c>
    </row>
    <row r="154" spans="9:26" x14ac:dyDescent="0.25">
      <c r="I154">
        <v>144</v>
      </c>
      <c r="J154" t="s">
        <v>657</v>
      </c>
      <c r="K154">
        <v>0.2306</v>
      </c>
      <c r="L154">
        <v>2.0000000000000001E-4</v>
      </c>
      <c r="M154" t="s">
        <v>0</v>
      </c>
      <c r="N154" t="s">
        <v>658</v>
      </c>
      <c r="O154" t="s">
        <v>659</v>
      </c>
      <c r="P154" t="s">
        <v>660</v>
      </c>
      <c r="Q154">
        <v>1000</v>
      </c>
      <c r="R154">
        <v>0.03</v>
      </c>
      <c r="S154">
        <v>4</v>
      </c>
      <c r="T154">
        <v>0.2298</v>
      </c>
      <c r="W154">
        <v>0.2306</v>
      </c>
      <c r="X154">
        <v>0.2306</v>
      </c>
      <c r="Y154" s="1">
        <f t="shared" si="5"/>
        <v>0</v>
      </c>
      <c r="Z154" t="str">
        <f t="shared" si="4"/>
        <v/>
      </c>
    </row>
    <row r="155" spans="9:26" x14ac:dyDescent="0.25">
      <c r="I155">
        <v>145</v>
      </c>
      <c r="J155" t="s">
        <v>661</v>
      </c>
      <c r="K155">
        <v>190</v>
      </c>
      <c r="L155">
        <v>1</v>
      </c>
      <c r="M155" t="s">
        <v>0</v>
      </c>
      <c r="N155" t="s">
        <v>662</v>
      </c>
      <c r="O155" t="s">
        <v>663</v>
      </c>
      <c r="P155" t="s">
        <v>664</v>
      </c>
      <c r="Q155">
        <v>10</v>
      </c>
      <c r="R155">
        <v>124</v>
      </c>
      <c r="S155">
        <v>0</v>
      </c>
      <c r="T155">
        <v>193</v>
      </c>
      <c r="W155">
        <v>190</v>
      </c>
      <c r="X155">
        <v>190</v>
      </c>
      <c r="Y155" s="1">
        <f t="shared" si="5"/>
        <v>0</v>
      </c>
      <c r="Z155" t="str">
        <f t="shared" si="4"/>
        <v/>
      </c>
    </row>
    <row r="156" spans="9:26" x14ac:dyDescent="0.25">
      <c r="I156">
        <v>146</v>
      </c>
      <c r="J156" t="s">
        <v>665</v>
      </c>
      <c r="K156">
        <v>45.4</v>
      </c>
      <c r="L156">
        <v>0.2</v>
      </c>
      <c r="M156" t="s">
        <v>0</v>
      </c>
      <c r="N156" t="s">
        <v>666</v>
      </c>
      <c r="O156" t="s">
        <v>667</v>
      </c>
      <c r="P156" t="s">
        <v>668</v>
      </c>
      <c r="Q156">
        <v>10</v>
      </c>
      <c r="R156">
        <v>0.1</v>
      </c>
      <c r="S156">
        <v>1</v>
      </c>
      <c r="T156">
        <v>44.8</v>
      </c>
      <c r="W156">
        <v>45.4</v>
      </c>
      <c r="X156">
        <v>45.4</v>
      </c>
      <c r="Y156" s="1">
        <f t="shared" si="5"/>
        <v>0</v>
      </c>
      <c r="Z156" t="str">
        <f t="shared" si="4"/>
        <v/>
      </c>
    </row>
    <row r="157" spans="9:26" x14ac:dyDescent="0.25">
      <c r="I157">
        <v>147</v>
      </c>
      <c r="J157" t="s">
        <v>669</v>
      </c>
      <c r="K157">
        <v>72</v>
      </c>
      <c r="L157">
        <v>0.2</v>
      </c>
      <c r="M157" t="s">
        <v>0</v>
      </c>
      <c r="N157" t="s">
        <v>670</v>
      </c>
      <c r="O157" t="s">
        <v>671</v>
      </c>
      <c r="P157" t="s">
        <v>672</v>
      </c>
      <c r="Q157">
        <v>10</v>
      </c>
      <c r="R157">
        <v>169.7</v>
      </c>
      <c r="S157">
        <v>1</v>
      </c>
      <c r="T157">
        <v>73</v>
      </c>
      <c r="W157">
        <v>72</v>
      </c>
      <c r="X157">
        <v>72</v>
      </c>
      <c r="Y157" s="1">
        <f t="shared" si="5"/>
        <v>0</v>
      </c>
      <c r="Z157" t="str">
        <f t="shared" si="4"/>
        <v/>
      </c>
    </row>
    <row r="158" spans="9:26" x14ac:dyDescent="0.25">
      <c r="I158">
        <v>148</v>
      </c>
      <c r="J158" t="s">
        <v>673</v>
      </c>
      <c r="K158">
        <v>87</v>
      </c>
      <c r="L158">
        <v>0.1</v>
      </c>
      <c r="M158" t="s">
        <v>0</v>
      </c>
      <c r="N158" t="s">
        <v>674</v>
      </c>
      <c r="O158" t="s">
        <v>675</v>
      </c>
      <c r="P158" t="s">
        <v>676</v>
      </c>
      <c r="Q158">
        <v>10</v>
      </c>
      <c r="R158">
        <v>100</v>
      </c>
      <c r="S158">
        <v>1</v>
      </c>
      <c r="T158">
        <v>86</v>
      </c>
      <c r="W158">
        <v>87</v>
      </c>
      <c r="X158">
        <v>87</v>
      </c>
      <c r="Y158" s="1">
        <f t="shared" si="5"/>
        <v>0</v>
      </c>
      <c r="Z158" t="str">
        <f t="shared" si="4"/>
        <v/>
      </c>
    </row>
    <row r="159" spans="9:26" x14ac:dyDescent="0.25">
      <c r="I159">
        <v>149</v>
      </c>
      <c r="J159" t="s">
        <v>677</v>
      </c>
      <c r="K159">
        <v>15.15</v>
      </c>
      <c r="L159">
        <v>0.01</v>
      </c>
      <c r="M159" t="s">
        <v>0</v>
      </c>
      <c r="N159" t="s">
        <v>678</v>
      </c>
      <c r="O159" t="s">
        <v>679</v>
      </c>
      <c r="P159" t="s">
        <v>680</v>
      </c>
      <c r="Q159">
        <v>100</v>
      </c>
      <c r="R159">
        <v>1</v>
      </c>
      <c r="S159">
        <v>2</v>
      </c>
      <c r="T159">
        <v>15.01</v>
      </c>
      <c r="W159">
        <v>15.15</v>
      </c>
      <c r="X159">
        <v>15.15</v>
      </c>
      <c r="Y159" s="1">
        <f t="shared" si="5"/>
        <v>0</v>
      </c>
      <c r="Z159" t="str">
        <f t="shared" si="4"/>
        <v/>
      </c>
    </row>
    <row r="160" spans="9:26" x14ac:dyDescent="0.25">
      <c r="I160">
        <v>150</v>
      </c>
      <c r="J160" t="s">
        <v>681</v>
      </c>
      <c r="K160">
        <v>148</v>
      </c>
      <c r="L160">
        <v>0.05</v>
      </c>
      <c r="M160" t="s">
        <v>0</v>
      </c>
      <c r="N160" t="s">
        <v>682</v>
      </c>
      <c r="O160" t="s">
        <v>683</v>
      </c>
      <c r="P160" t="s">
        <v>684</v>
      </c>
      <c r="Q160">
        <v>10</v>
      </c>
      <c r="R160">
        <v>1</v>
      </c>
      <c r="S160">
        <v>2</v>
      </c>
      <c r="T160">
        <v>148.1</v>
      </c>
      <c r="W160">
        <v>148</v>
      </c>
      <c r="X160">
        <v>148</v>
      </c>
      <c r="Y160" s="1">
        <f t="shared" si="5"/>
        <v>0</v>
      </c>
      <c r="Z160" t="str">
        <f t="shared" si="4"/>
        <v/>
      </c>
    </row>
    <row r="161" spans="9:26" x14ac:dyDescent="0.25">
      <c r="I161">
        <v>151</v>
      </c>
      <c r="J161" t="s">
        <v>685</v>
      </c>
      <c r="K161">
        <v>1.0309999999999999</v>
      </c>
      <c r="L161">
        <v>5.0000000000000001E-4</v>
      </c>
      <c r="M161" t="s">
        <v>0</v>
      </c>
      <c r="N161" t="s">
        <v>686</v>
      </c>
      <c r="O161" t="s">
        <v>687</v>
      </c>
      <c r="P161" t="s">
        <v>688</v>
      </c>
      <c r="Q161">
        <v>1000</v>
      </c>
      <c r="R161">
        <v>0.5</v>
      </c>
      <c r="S161">
        <v>4</v>
      </c>
      <c r="T161">
        <v>1.024</v>
      </c>
      <c r="W161">
        <v>1.0309999999999999</v>
      </c>
      <c r="X161">
        <v>1.0309999999999999</v>
      </c>
      <c r="Y161" s="1">
        <f t="shared" si="5"/>
        <v>0</v>
      </c>
      <c r="Z161" t="str">
        <f t="shared" si="4"/>
        <v/>
      </c>
    </row>
    <row r="162" spans="9:26" x14ac:dyDescent="0.25">
      <c r="I162">
        <v>152</v>
      </c>
      <c r="J162" t="s">
        <v>689</v>
      </c>
      <c r="K162">
        <v>3.5549999999999998E-2</v>
      </c>
      <c r="L162">
        <v>5.0000000000000002E-5</v>
      </c>
      <c r="M162" t="s">
        <v>0</v>
      </c>
      <c r="N162" t="s">
        <v>690</v>
      </c>
      <c r="O162" t="s">
        <v>691</v>
      </c>
      <c r="P162" t="s">
        <v>692</v>
      </c>
      <c r="Q162">
        <v>10000</v>
      </c>
      <c r="R162">
        <v>0.1</v>
      </c>
      <c r="S162">
        <v>5</v>
      </c>
      <c r="T162">
        <v>3.5000000000000003E-2</v>
      </c>
      <c r="W162">
        <v>3.5549999999999998E-2</v>
      </c>
      <c r="X162">
        <v>3.5549999999999998E-2</v>
      </c>
      <c r="Y162" s="1">
        <f t="shared" si="5"/>
        <v>0</v>
      </c>
      <c r="Z162" t="str">
        <f t="shared" si="4"/>
        <v/>
      </c>
    </row>
    <row r="163" spans="9:26" x14ac:dyDescent="0.25">
      <c r="I163">
        <v>153</v>
      </c>
      <c r="J163" t="s">
        <v>693</v>
      </c>
      <c r="K163">
        <v>0.2311</v>
      </c>
      <c r="L163">
        <v>1E-4</v>
      </c>
      <c r="M163" t="s">
        <v>0</v>
      </c>
      <c r="N163" t="s">
        <v>70</v>
      </c>
      <c r="O163" t="s">
        <v>71</v>
      </c>
      <c r="P163" t="s">
        <v>72</v>
      </c>
      <c r="Q163">
        <v>10000</v>
      </c>
      <c r="R163">
        <v>0.1</v>
      </c>
      <c r="S163">
        <v>4</v>
      </c>
      <c r="T163">
        <v>0.21310000000000001</v>
      </c>
      <c r="W163">
        <v>0.2311</v>
      </c>
      <c r="X163">
        <v>0.2311</v>
      </c>
      <c r="Y163" s="1">
        <f t="shared" si="5"/>
        <v>0</v>
      </c>
      <c r="Z163" t="str">
        <f t="shared" si="4"/>
        <v/>
      </c>
    </row>
    <row r="164" spans="9:26" x14ac:dyDescent="0.25">
      <c r="I164">
        <v>154</v>
      </c>
      <c r="J164" t="s">
        <v>694</v>
      </c>
      <c r="K164">
        <v>41.164999999999999</v>
      </c>
      <c r="L164">
        <v>5.0000000000000001E-3</v>
      </c>
      <c r="M164" t="s">
        <v>0</v>
      </c>
      <c r="N164" t="s">
        <v>73</v>
      </c>
      <c r="O164" t="s">
        <v>74</v>
      </c>
      <c r="P164" t="s">
        <v>75</v>
      </c>
      <c r="Q164">
        <v>10</v>
      </c>
      <c r="R164">
        <v>0.65651700000000002</v>
      </c>
      <c r="S164">
        <v>3</v>
      </c>
      <c r="T164">
        <v>41.155000000000001</v>
      </c>
      <c r="W164">
        <v>41.164999999999999</v>
      </c>
      <c r="X164">
        <v>41.164999999999999</v>
      </c>
      <c r="Y164" s="1">
        <f t="shared" si="5"/>
        <v>0</v>
      </c>
      <c r="Z164" t="str">
        <f t="shared" si="4"/>
        <v/>
      </c>
    </row>
    <row r="165" spans="9:26" x14ac:dyDescent="0.25">
      <c r="I165">
        <v>155</v>
      </c>
      <c r="J165" t="s">
        <v>695</v>
      </c>
      <c r="K165">
        <v>275.8</v>
      </c>
      <c r="L165">
        <v>0.05</v>
      </c>
      <c r="M165" t="s">
        <v>0</v>
      </c>
      <c r="N165" t="s">
        <v>76</v>
      </c>
      <c r="O165" t="s">
        <v>77</v>
      </c>
      <c r="P165" t="s">
        <v>78</v>
      </c>
      <c r="Q165">
        <v>10</v>
      </c>
      <c r="R165">
        <v>4.0000000000000001E-3</v>
      </c>
      <c r="S165">
        <v>2</v>
      </c>
      <c r="T165">
        <v>273.5</v>
      </c>
      <c r="W165">
        <v>275.8</v>
      </c>
      <c r="X165">
        <v>275.8</v>
      </c>
      <c r="Y165" s="1">
        <f t="shared" si="5"/>
        <v>0</v>
      </c>
      <c r="Z165" t="str">
        <f t="shared" si="4"/>
        <v/>
      </c>
    </row>
    <row r="166" spans="9:26" x14ac:dyDescent="0.25">
      <c r="I166">
        <v>156</v>
      </c>
      <c r="J166" t="s">
        <v>696</v>
      </c>
      <c r="K166">
        <v>58.7</v>
      </c>
      <c r="L166">
        <v>0.02</v>
      </c>
      <c r="M166" t="s">
        <v>0</v>
      </c>
      <c r="N166" t="s">
        <v>697</v>
      </c>
      <c r="O166" t="s">
        <v>698</v>
      </c>
      <c r="P166" t="s">
        <v>699</v>
      </c>
      <c r="Q166">
        <v>10</v>
      </c>
      <c r="R166">
        <v>9.8800000000000008</v>
      </c>
      <c r="S166">
        <v>2</v>
      </c>
      <c r="T166">
        <v>58.84</v>
      </c>
      <c r="W166">
        <v>58.7</v>
      </c>
      <c r="X166">
        <v>58.7</v>
      </c>
      <c r="Y166" s="1">
        <f t="shared" si="5"/>
        <v>0</v>
      </c>
      <c r="Z166" t="str">
        <f t="shared" si="4"/>
        <v/>
      </c>
    </row>
    <row r="167" spans="9:26" x14ac:dyDescent="0.25">
      <c r="I167">
        <v>157</v>
      </c>
      <c r="J167" t="s">
        <v>700</v>
      </c>
      <c r="K167">
        <v>118.6</v>
      </c>
      <c r="L167">
        <v>0.2</v>
      </c>
      <c r="M167" t="s">
        <v>0</v>
      </c>
      <c r="N167" t="s">
        <v>701</v>
      </c>
      <c r="O167" t="s">
        <v>702</v>
      </c>
      <c r="P167" t="s">
        <v>703</v>
      </c>
      <c r="Q167">
        <v>10</v>
      </c>
      <c r="R167">
        <v>10</v>
      </c>
      <c r="S167">
        <v>1</v>
      </c>
      <c r="T167">
        <v>118.6</v>
      </c>
      <c r="W167">
        <v>118.6</v>
      </c>
      <c r="X167">
        <v>118.6</v>
      </c>
      <c r="Y167" s="1">
        <f t="shared" si="5"/>
        <v>0</v>
      </c>
      <c r="Z167" t="str">
        <f t="shared" si="4"/>
        <v/>
      </c>
    </row>
    <row r="168" spans="9:26" x14ac:dyDescent="0.25">
      <c r="I168">
        <v>158</v>
      </c>
      <c r="J168" t="s">
        <v>704</v>
      </c>
      <c r="K168">
        <v>389.55</v>
      </c>
      <c r="L168">
        <v>0.05</v>
      </c>
      <c r="M168" t="s">
        <v>0</v>
      </c>
      <c r="N168" t="s">
        <v>79</v>
      </c>
      <c r="O168" t="s">
        <v>80</v>
      </c>
      <c r="P168" t="s">
        <v>81</v>
      </c>
      <c r="Q168">
        <v>1</v>
      </c>
      <c r="R168">
        <v>0.01</v>
      </c>
      <c r="S168">
        <v>2</v>
      </c>
      <c r="T168">
        <v>389.8</v>
      </c>
      <c r="W168">
        <v>389.55</v>
      </c>
      <c r="X168">
        <v>389.55</v>
      </c>
      <c r="Y168" s="1">
        <f t="shared" si="5"/>
        <v>0</v>
      </c>
      <c r="Z168" t="str">
        <f t="shared" si="4"/>
        <v/>
      </c>
    </row>
    <row r="169" spans="9:26" x14ac:dyDescent="0.25">
      <c r="I169">
        <v>159</v>
      </c>
      <c r="J169" t="s">
        <v>705</v>
      </c>
      <c r="K169">
        <v>0.31180000000000002</v>
      </c>
      <c r="L169">
        <v>2.0000000000000001E-4</v>
      </c>
      <c r="M169" t="s">
        <v>0</v>
      </c>
      <c r="N169" t="s">
        <v>706</v>
      </c>
      <c r="O169" t="s">
        <v>707</v>
      </c>
      <c r="P169" t="s">
        <v>708</v>
      </c>
      <c r="Q169">
        <v>1000</v>
      </c>
      <c r="R169">
        <v>0.1</v>
      </c>
      <c r="S169">
        <v>4</v>
      </c>
      <c r="T169">
        <v>0.29620000000000002</v>
      </c>
      <c r="W169">
        <v>0.31180000000000002</v>
      </c>
      <c r="X169">
        <v>0.31180000000000002</v>
      </c>
      <c r="Y169" s="1">
        <f t="shared" si="5"/>
        <v>0</v>
      </c>
      <c r="Z169" t="str">
        <f t="shared" si="4"/>
        <v/>
      </c>
    </row>
    <row r="170" spans="9:26" x14ac:dyDescent="0.25">
      <c r="I170">
        <v>160</v>
      </c>
      <c r="J170" t="s">
        <v>709</v>
      </c>
      <c r="K170">
        <v>4.3499999999999997E-2</v>
      </c>
      <c r="L170">
        <v>5.0000000000000002E-5</v>
      </c>
      <c r="M170" t="s">
        <v>0</v>
      </c>
      <c r="N170" t="s">
        <v>710</v>
      </c>
      <c r="O170" t="s">
        <v>711</v>
      </c>
      <c r="P170" t="s">
        <v>712</v>
      </c>
      <c r="Q170">
        <v>10000</v>
      </c>
      <c r="R170">
        <v>0.1</v>
      </c>
      <c r="S170">
        <v>5</v>
      </c>
      <c r="T170">
        <v>4.3249999999999997E-2</v>
      </c>
      <c r="W170">
        <v>4.3499999999999997E-2</v>
      </c>
      <c r="X170">
        <v>4.3499999999999997E-2</v>
      </c>
      <c r="Y170" s="1">
        <f t="shared" si="5"/>
        <v>0</v>
      </c>
      <c r="Z170" t="str">
        <f t="shared" si="4"/>
        <v/>
      </c>
    </row>
    <row r="171" spans="9:26" x14ac:dyDescent="0.25">
      <c r="I171">
        <v>161</v>
      </c>
      <c r="J171" t="s">
        <v>713</v>
      </c>
      <c r="K171">
        <v>0.10122</v>
      </c>
      <c r="L171">
        <v>2.0000000000000002E-5</v>
      </c>
      <c r="M171" t="s">
        <v>0</v>
      </c>
      <c r="N171" t="s">
        <v>82</v>
      </c>
      <c r="O171" t="s">
        <v>83</v>
      </c>
      <c r="P171" t="s">
        <v>84</v>
      </c>
      <c r="Q171">
        <v>10000</v>
      </c>
      <c r="R171">
        <v>0.5</v>
      </c>
      <c r="S171">
        <v>5</v>
      </c>
      <c r="T171">
        <v>0.10142</v>
      </c>
      <c r="W171">
        <v>0.10122</v>
      </c>
      <c r="X171">
        <v>0.10122</v>
      </c>
      <c r="Y171" s="1">
        <f t="shared" si="5"/>
        <v>0</v>
      </c>
      <c r="Z171" t="str">
        <f t="shared" si="4"/>
        <v/>
      </c>
    </row>
    <row r="172" spans="9:26" x14ac:dyDescent="0.25">
      <c r="I172">
        <v>162</v>
      </c>
      <c r="J172" t="s">
        <v>714</v>
      </c>
      <c r="K172">
        <v>16.260000000000002</v>
      </c>
      <c r="L172">
        <v>0.02</v>
      </c>
      <c r="M172" t="s">
        <v>0</v>
      </c>
      <c r="N172" t="s">
        <v>715</v>
      </c>
      <c r="O172" t="s">
        <v>716</v>
      </c>
      <c r="P172" t="s">
        <v>717</v>
      </c>
      <c r="Q172">
        <v>10</v>
      </c>
      <c r="R172">
        <v>1</v>
      </c>
      <c r="S172">
        <v>2</v>
      </c>
      <c r="T172">
        <v>15.94</v>
      </c>
      <c r="W172">
        <v>16.260000000000002</v>
      </c>
      <c r="X172">
        <v>16.260000000000002</v>
      </c>
      <c r="Y172" s="1">
        <f t="shared" si="5"/>
        <v>0</v>
      </c>
      <c r="Z172" t="str">
        <f t="shared" si="4"/>
        <v/>
      </c>
    </row>
    <row r="173" spans="9:26" x14ac:dyDescent="0.25">
      <c r="I173">
        <v>163</v>
      </c>
      <c r="J173" t="s">
        <v>718</v>
      </c>
      <c r="K173">
        <v>61.81</v>
      </c>
      <c r="L173">
        <v>0.01</v>
      </c>
      <c r="M173" t="s">
        <v>0</v>
      </c>
      <c r="N173" t="s">
        <v>85</v>
      </c>
      <c r="O173" t="s">
        <v>86</v>
      </c>
      <c r="P173" t="s">
        <v>87</v>
      </c>
      <c r="Q173">
        <v>10</v>
      </c>
      <c r="R173">
        <v>2.5000000000000001E-3</v>
      </c>
      <c r="S173">
        <v>2</v>
      </c>
      <c r="T173">
        <v>62.08</v>
      </c>
      <c r="W173">
        <v>61.81</v>
      </c>
      <c r="X173">
        <v>61.81</v>
      </c>
      <c r="Y173" s="1">
        <f t="shared" si="5"/>
        <v>0</v>
      </c>
      <c r="Z173" t="str">
        <f t="shared" si="4"/>
        <v/>
      </c>
    </row>
    <row r="174" spans="9:26" x14ac:dyDescent="0.25">
      <c r="I174">
        <v>164</v>
      </c>
      <c r="J174" t="s">
        <v>719</v>
      </c>
      <c r="K174">
        <v>61.35</v>
      </c>
      <c r="L174">
        <v>0.05</v>
      </c>
      <c r="M174" t="s">
        <v>0</v>
      </c>
      <c r="N174" t="s">
        <v>88</v>
      </c>
      <c r="O174" t="s">
        <v>89</v>
      </c>
      <c r="P174" t="s">
        <v>90</v>
      </c>
      <c r="Q174">
        <v>10</v>
      </c>
      <c r="R174">
        <v>2.5000000000000001E-3</v>
      </c>
      <c r="S174">
        <v>2</v>
      </c>
      <c r="T174">
        <v>61.55</v>
      </c>
      <c r="W174">
        <v>61.35</v>
      </c>
      <c r="X174">
        <v>61.35</v>
      </c>
      <c r="Y174" s="1">
        <f t="shared" si="5"/>
        <v>0</v>
      </c>
      <c r="Z174" t="str">
        <f t="shared" si="4"/>
        <v/>
      </c>
    </row>
    <row r="175" spans="9:26" x14ac:dyDescent="0.25">
      <c r="I175">
        <v>165</v>
      </c>
      <c r="J175" t="s">
        <v>720</v>
      </c>
      <c r="K175">
        <v>3.7600000000000001E-2</v>
      </c>
      <c r="L175">
        <v>5.0000000000000002E-5</v>
      </c>
      <c r="M175" t="s">
        <v>0</v>
      </c>
      <c r="N175" t="s">
        <v>721</v>
      </c>
      <c r="O175" t="s">
        <v>722</v>
      </c>
      <c r="P175" t="s">
        <v>723</v>
      </c>
      <c r="Q175">
        <v>10000</v>
      </c>
      <c r="R175">
        <v>0.1</v>
      </c>
      <c r="S175">
        <v>5</v>
      </c>
      <c r="T175">
        <v>3.6949999999999997E-2</v>
      </c>
      <c r="W175">
        <v>3.7600000000000001E-2</v>
      </c>
      <c r="X175">
        <v>3.7600000000000001E-2</v>
      </c>
      <c r="Y175" s="1">
        <f t="shared" si="5"/>
        <v>0</v>
      </c>
      <c r="Z175" t="str">
        <f t="shared" si="4"/>
        <v/>
      </c>
    </row>
    <row r="176" spans="9:26" x14ac:dyDescent="0.25">
      <c r="I176">
        <v>166</v>
      </c>
      <c r="J176" t="s">
        <v>724</v>
      </c>
      <c r="K176">
        <v>0.34</v>
      </c>
      <c r="L176">
        <v>5.0000000000000001E-4</v>
      </c>
      <c r="M176" t="s">
        <v>0</v>
      </c>
      <c r="N176" t="s">
        <v>725</v>
      </c>
      <c r="O176" t="s">
        <v>726</v>
      </c>
      <c r="P176" t="s">
        <v>727</v>
      </c>
      <c r="Q176">
        <v>10000</v>
      </c>
      <c r="R176">
        <v>0.1</v>
      </c>
      <c r="S176">
        <v>4</v>
      </c>
      <c r="T176">
        <v>0.33900000000000002</v>
      </c>
      <c r="W176">
        <v>0.34</v>
      </c>
      <c r="X176">
        <v>0.34</v>
      </c>
      <c r="Y176" s="1">
        <f t="shared" si="5"/>
        <v>0</v>
      </c>
      <c r="Z176" t="str">
        <f t="shared" si="4"/>
        <v/>
      </c>
    </row>
    <row r="177" spans="9:26" x14ac:dyDescent="0.25">
      <c r="I177">
        <v>167</v>
      </c>
      <c r="J177" t="s">
        <v>728</v>
      </c>
      <c r="K177">
        <v>0.84279999999999999</v>
      </c>
      <c r="L177">
        <v>1E-4</v>
      </c>
      <c r="M177" t="s">
        <v>0</v>
      </c>
      <c r="N177" t="s">
        <v>91</v>
      </c>
      <c r="O177" t="s">
        <v>92</v>
      </c>
      <c r="P177" t="s">
        <v>93</v>
      </c>
      <c r="Q177">
        <v>1000</v>
      </c>
      <c r="R177">
        <v>1</v>
      </c>
      <c r="S177">
        <v>4</v>
      </c>
      <c r="T177">
        <v>0.84699999999999998</v>
      </c>
      <c r="W177">
        <v>0.84279999999999999</v>
      </c>
      <c r="X177">
        <v>0.84279999999999999</v>
      </c>
      <c r="Y177" s="1">
        <f t="shared" si="5"/>
        <v>0</v>
      </c>
      <c r="Z177" t="str">
        <f t="shared" si="4"/>
        <v/>
      </c>
    </row>
    <row r="178" spans="9:26" x14ac:dyDescent="0.25">
      <c r="I178">
        <v>168</v>
      </c>
      <c r="J178" t="s">
        <v>729</v>
      </c>
      <c r="K178">
        <v>0.80079999999999996</v>
      </c>
      <c r="L178">
        <v>1E-4</v>
      </c>
      <c r="M178" t="s">
        <v>0</v>
      </c>
      <c r="N178" t="s">
        <v>730</v>
      </c>
      <c r="O178" t="s">
        <v>731</v>
      </c>
      <c r="P178" t="s">
        <v>732</v>
      </c>
      <c r="Q178">
        <v>1000</v>
      </c>
      <c r="R178">
        <v>0.1</v>
      </c>
      <c r="S178">
        <v>4</v>
      </c>
      <c r="T178">
        <v>0.80649999999999999</v>
      </c>
      <c r="W178">
        <v>0.80079999999999996</v>
      </c>
      <c r="X178">
        <v>0.80079999999999996</v>
      </c>
      <c r="Y178" s="1">
        <f t="shared" si="5"/>
        <v>0</v>
      </c>
      <c r="Z178" t="str">
        <f t="shared" si="4"/>
        <v/>
      </c>
    </row>
    <row r="179" spans="9:26" x14ac:dyDescent="0.25">
      <c r="I179">
        <v>169</v>
      </c>
      <c r="J179" t="s">
        <v>733</v>
      </c>
      <c r="K179">
        <v>157.6</v>
      </c>
      <c r="L179">
        <v>0.1</v>
      </c>
      <c r="M179" t="s">
        <v>0</v>
      </c>
      <c r="N179" t="s">
        <v>734</v>
      </c>
      <c r="O179" t="s">
        <v>735</v>
      </c>
      <c r="P179" t="s">
        <v>736</v>
      </c>
      <c r="Q179">
        <v>1</v>
      </c>
      <c r="R179">
        <v>0.5</v>
      </c>
      <c r="S179">
        <v>1</v>
      </c>
      <c r="T179">
        <v>155</v>
      </c>
      <c r="W179">
        <v>157.6</v>
      </c>
      <c r="X179">
        <v>157.6</v>
      </c>
      <c r="Y179" s="1">
        <f t="shared" si="5"/>
        <v>0</v>
      </c>
      <c r="Z179" t="str">
        <f t="shared" si="4"/>
        <v/>
      </c>
    </row>
    <row r="180" spans="9:26" x14ac:dyDescent="0.25">
      <c r="I180">
        <v>170</v>
      </c>
      <c r="J180" t="s">
        <v>737</v>
      </c>
      <c r="K180">
        <v>30.6</v>
      </c>
      <c r="L180">
        <v>0.02</v>
      </c>
      <c r="M180" t="s">
        <v>0</v>
      </c>
      <c r="N180" t="s">
        <v>738</v>
      </c>
      <c r="O180" t="s">
        <v>739</v>
      </c>
      <c r="P180" t="s">
        <v>740</v>
      </c>
      <c r="Q180">
        <v>100</v>
      </c>
      <c r="R180">
        <v>0.05</v>
      </c>
      <c r="S180">
        <v>2</v>
      </c>
      <c r="T180">
        <v>30.44</v>
      </c>
      <c r="W180">
        <v>30.6</v>
      </c>
      <c r="X180">
        <v>30.6</v>
      </c>
      <c r="Y180" s="1">
        <f t="shared" si="5"/>
        <v>0</v>
      </c>
      <c r="Z180" t="str">
        <f t="shared" si="4"/>
        <v/>
      </c>
    </row>
    <row r="181" spans="9:26" x14ac:dyDescent="0.25">
      <c r="I181">
        <v>171</v>
      </c>
      <c r="J181" t="s">
        <v>741</v>
      </c>
      <c r="K181">
        <v>0</v>
      </c>
      <c r="L181">
        <v>10</v>
      </c>
      <c r="M181" t="s">
        <v>0</v>
      </c>
      <c r="N181" t="s">
        <v>742</v>
      </c>
      <c r="O181" t="s">
        <v>743</v>
      </c>
      <c r="P181" t="s">
        <v>744</v>
      </c>
      <c r="Q181">
        <v>1</v>
      </c>
      <c r="R181">
        <v>0.25</v>
      </c>
      <c r="S181">
        <v>0</v>
      </c>
      <c r="T181">
        <v>7440</v>
      </c>
      <c r="W181">
        <v>0</v>
      </c>
      <c r="X181">
        <v>0</v>
      </c>
      <c r="Y181" s="1">
        <f t="shared" si="5"/>
        <v>0</v>
      </c>
      <c r="Z181" t="str">
        <f t="shared" si="4"/>
        <v/>
      </c>
    </row>
    <row r="182" spans="9:26" x14ac:dyDescent="0.25">
      <c r="I182">
        <v>172</v>
      </c>
      <c r="J182" t="s">
        <v>745</v>
      </c>
      <c r="K182">
        <v>420.5</v>
      </c>
      <c r="L182">
        <v>0.5</v>
      </c>
      <c r="M182" t="s">
        <v>0</v>
      </c>
      <c r="N182" t="s">
        <v>746</v>
      </c>
      <c r="O182" t="s">
        <v>747</v>
      </c>
      <c r="P182" t="s">
        <v>748</v>
      </c>
      <c r="Q182">
        <v>10</v>
      </c>
      <c r="R182">
        <v>12.5</v>
      </c>
      <c r="S182">
        <v>1</v>
      </c>
      <c r="T182">
        <v>442</v>
      </c>
      <c r="W182">
        <v>420.5</v>
      </c>
      <c r="X182">
        <v>420.5</v>
      </c>
      <c r="Y182" s="1">
        <f t="shared" si="5"/>
        <v>0</v>
      </c>
      <c r="Z182" t="str">
        <f t="shared" si="4"/>
        <v/>
      </c>
    </row>
    <row r="183" spans="9:26" x14ac:dyDescent="0.25">
      <c r="I183">
        <v>173</v>
      </c>
      <c r="J183" t="s">
        <v>749</v>
      </c>
      <c r="K183">
        <v>152.4</v>
      </c>
      <c r="L183">
        <v>0.1</v>
      </c>
      <c r="M183" t="s">
        <v>0</v>
      </c>
      <c r="N183" t="s">
        <v>750</v>
      </c>
      <c r="O183" t="s">
        <v>751</v>
      </c>
      <c r="P183" t="s">
        <v>752</v>
      </c>
      <c r="Q183">
        <v>1</v>
      </c>
      <c r="R183">
        <v>3.75</v>
      </c>
      <c r="S183">
        <v>1</v>
      </c>
      <c r="T183">
        <v>152.19999999999999</v>
      </c>
      <c r="W183">
        <v>152.4</v>
      </c>
      <c r="X183">
        <v>152.4</v>
      </c>
      <c r="Y183" s="1">
        <f t="shared" si="5"/>
        <v>0</v>
      </c>
      <c r="Z183" t="str">
        <f t="shared" si="4"/>
        <v/>
      </c>
    </row>
    <row r="184" spans="9:26" x14ac:dyDescent="0.25">
      <c r="I184">
        <v>174</v>
      </c>
      <c r="J184" t="s">
        <v>753</v>
      </c>
      <c r="K184">
        <v>1.502</v>
      </c>
      <c r="L184">
        <v>2E-3</v>
      </c>
      <c r="M184" t="s">
        <v>0</v>
      </c>
      <c r="N184" t="s">
        <v>754</v>
      </c>
      <c r="O184" t="s">
        <v>755</v>
      </c>
      <c r="P184" t="s">
        <v>756</v>
      </c>
      <c r="Q184">
        <v>1000</v>
      </c>
      <c r="R184">
        <v>0.25</v>
      </c>
      <c r="S184">
        <v>3</v>
      </c>
      <c r="T184">
        <v>1.508</v>
      </c>
      <c r="W184">
        <v>1.502</v>
      </c>
      <c r="X184">
        <v>1.502</v>
      </c>
      <c r="Y184" s="1">
        <f t="shared" si="5"/>
        <v>0</v>
      </c>
      <c r="Z184" t="str">
        <f t="shared" si="4"/>
        <v/>
      </c>
    </row>
    <row r="185" spans="9:26" x14ac:dyDescent="0.25">
      <c r="I185">
        <v>175</v>
      </c>
      <c r="J185" t="s">
        <v>757</v>
      </c>
      <c r="K185">
        <v>1.4239999999999999</v>
      </c>
      <c r="L185">
        <v>2E-3</v>
      </c>
      <c r="M185" t="s">
        <v>0</v>
      </c>
      <c r="N185" t="s">
        <v>758</v>
      </c>
      <c r="O185" t="s">
        <v>759</v>
      </c>
      <c r="P185" t="s">
        <v>760</v>
      </c>
      <c r="Q185">
        <v>1000</v>
      </c>
      <c r="R185">
        <v>0.01</v>
      </c>
      <c r="S185">
        <v>3</v>
      </c>
      <c r="T185">
        <v>1.42</v>
      </c>
      <c r="W185">
        <v>1.4239999999999999</v>
      </c>
      <c r="X185">
        <v>1.4239999999999999</v>
      </c>
      <c r="Y185" s="1">
        <f t="shared" si="5"/>
        <v>0</v>
      </c>
      <c r="Z185" t="str">
        <f t="shared" si="4"/>
        <v/>
      </c>
    </row>
    <row r="186" spans="9:26" x14ac:dyDescent="0.25">
      <c r="I186">
        <v>176</v>
      </c>
      <c r="J186" t="s">
        <v>761</v>
      </c>
      <c r="K186">
        <v>2636</v>
      </c>
      <c r="L186">
        <v>0.5</v>
      </c>
      <c r="M186" t="s">
        <v>0</v>
      </c>
      <c r="N186" t="s">
        <v>94</v>
      </c>
      <c r="O186" t="s">
        <v>95</v>
      </c>
      <c r="P186" t="s">
        <v>96</v>
      </c>
      <c r="Q186">
        <v>1</v>
      </c>
      <c r="R186">
        <v>25</v>
      </c>
      <c r="S186">
        <v>1</v>
      </c>
      <c r="T186">
        <v>2631.5</v>
      </c>
      <c r="W186">
        <v>2636</v>
      </c>
      <c r="X186">
        <v>2636</v>
      </c>
      <c r="Y186" s="1">
        <f t="shared" si="5"/>
        <v>0</v>
      </c>
      <c r="Z186" t="str">
        <f t="shared" si="4"/>
        <v/>
      </c>
    </row>
    <row r="187" spans="9:26" x14ac:dyDescent="0.25">
      <c r="I187">
        <v>177</v>
      </c>
      <c r="J187" t="s">
        <v>762</v>
      </c>
      <c r="K187">
        <v>11500</v>
      </c>
      <c r="L187">
        <v>50</v>
      </c>
      <c r="M187" t="s">
        <v>0</v>
      </c>
      <c r="N187" t="s">
        <v>763</v>
      </c>
      <c r="O187" t="s">
        <v>764</v>
      </c>
      <c r="P187" t="s">
        <v>765</v>
      </c>
      <c r="Q187">
        <v>1</v>
      </c>
      <c r="R187">
        <v>1</v>
      </c>
      <c r="S187">
        <v>0</v>
      </c>
      <c r="T187">
        <v>11350</v>
      </c>
      <c r="W187">
        <v>11500</v>
      </c>
      <c r="X187">
        <v>11500</v>
      </c>
      <c r="Y187" s="1">
        <f t="shared" si="5"/>
        <v>0</v>
      </c>
      <c r="Z187" t="str">
        <f t="shared" si="4"/>
        <v/>
      </c>
    </row>
    <row r="188" spans="9:26" x14ac:dyDescent="0.25">
      <c r="I188">
        <v>178</v>
      </c>
      <c r="J188" t="s">
        <v>766</v>
      </c>
      <c r="K188">
        <v>13720</v>
      </c>
      <c r="L188">
        <v>20</v>
      </c>
      <c r="M188" t="s">
        <v>0</v>
      </c>
      <c r="N188" t="s">
        <v>767</v>
      </c>
      <c r="O188" t="s">
        <v>768</v>
      </c>
      <c r="P188" t="s">
        <v>769</v>
      </c>
      <c r="Q188">
        <v>1</v>
      </c>
      <c r="R188">
        <v>1</v>
      </c>
      <c r="S188">
        <v>0</v>
      </c>
      <c r="T188">
        <v>13720</v>
      </c>
      <c r="W188">
        <v>13720</v>
      </c>
      <c r="X188">
        <v>13720</v>
      </c>
      <c r="Y188" s="1">
        <f t="shared" si="5"/>
        <v>0</v>
      </c>
      <c r="Z188" t="str">
        <f t="shared" si="4"/>
        <v/>
      </c>
    </row>
    <row r="189" spans="9:26" x14ac:dyDescent="0.25">
      <c r="I189">
        <v>179</v>
      </c>
      <c r="J189" t="s">
        <v>770</v>
      </c>
      <c r="K189">
        <v>0.13800000000000001</v>
      </c>
      <c r="L189">
        <v>2.0000000000000001E-4</v>
      </c>
      <c r="M189" t="s">
        <v>0</v>
      </c>
      <c r="N189" t="s">
        <v>771</v>
      </c>
      <c r="O189" t="s">
        <v>772</v>
      </c>
      <c r="P189" t="s">
        <v>773</v>
      </c>
      <c r="Q189">
        <v>10000</v>
      </c>
      <c r="R189">
        <v>0.02</v>
      </c>
      <c r="S189">
        <v>4</v>
      </c>
      <c r="T189">
        <v>0.13719999999999999</v>
      </c>
      <c r="W189">
        <v>0.13800000000000001</v>
      </c>
      <c r="X189">
        <v>0.13800000000000001</v>
      </c>
      <c r="Y189" s="1">
        <f t="shared" si="5"/>
        <v>0</v>
      </c>
      <c r="Z189" t="str">
        <f t="shared" si="4"/>
        <v/>
      </c>
    </row>
    <row r="190" spans="9:26" x14ac:dyDescent="0.25">
      <c r="I190">
        <v>180</v>
      </c>
      <c r="J190" t="s">
        <v>774</v>
      </c>
      <c r="K190">
        <v>0</v>
      </c>
      <c r="L190">
        <v>2.0000000000000001E-4</v>
      </c>
      <c r="M190" t="s">
        <v>0</v>
      </c>
      <c r="N190" t="s">
        <v>775</v>
      </c>
      <c r="O190" t="s">
        <v>776</v>
      </c>
      <c r="P190" t="s">
        <v>777</v>
      </c>
      <c r="Q190">
        <v>10000</v>
      </c>
      <c r="R190">
        <v>2.1129999999999999E-2</v>
      </c>
      <c r="S190">
        <v>4</v>
      </c>
      <c r="T190">
        <v>0.1336</v>
      </c>
      <c r="W190">
        <v>0</v>
      </c>
      <c r="X190">
        <v>0</v>
      </c>
      <c r="Y190" s="1">
        <f t="shared" si="5"/>
        <v>0</v>
      </c>
      <c r="Z190" t="str">
        <f t="shared" si="4"/>
        <v/>
      </c>
    </row>
    <row r="191" spans="9:26" x14ac:dyDescent="0.25">
      <c r="I191">
        <v>181</v>
      </c>
      <c r="J191" t="s">
        <v>778</v>
      </c>
      <c r="K191">
        <v>3.68</v>
      </c>
      <c r="L191">
        <v>5.0000000000000001E-3</v>
      </c>
      <c r="M191" t="s">
        <v>0</v>
      </c>
      <c r="N191" t="s">
        <v>779</v>
      </c>
      <c r="O191" t="s">
        <v>780</v>
      </c>
      <c r="P191" t="s">
        <v>781</v>
      </c>
      <c r="Q191">
        <v>100</v>
      </c>
      <c r="R191">
        <v>10</v>
      </c>
      <c r="S191">
        <v>3</v>
      </c>
      <c r="T191">
        <v>3.61</v>
      </c>
      <c r="W191">
        <v>3.68</v>
      </c>
      <c r="X191">
        <v>3.68</v>
      </c>
      <c r="Y191" s="1">
        <f t="shared" si="5"/>
        <v>0</v>
      </c>
      <c r="Z191" t="str">
        <f t="shared" si="4"/>
        <v/>
      </c>
    </row>
    <row r="192" spans="9:26" x14ac:dyDescent="0.25">
      <c r="I192">
        <v>182</v>
      </c>
      <c r="J192" t="s">
        <v>782</v>
      </c>
      <c r="K192">
        <v>214.85</v>
      </c>
      <c r="L192">
        <v>0.01</v>
      </c>
      <c r="M192" t="s">
        <v>0</v>
      </c>
      <c r="N192" t="s">
        <v>97</v>
      </c>
      <c r="O192" t="s">
        <v>98</v>
      </c>
      <c r="P192" t="s">
        <v>99</v>
      </c>
      <c r="Q192">
        <v>10</v>
      </c>
      <c r="R192">
        <v>3</v>
      </c>
      <c r="S192">
        <v>2</v>
      </c>
      <c r="T192">
        <v>214.25</v>
      </c>
      <c r="W192">
        <v>214.85</v>
      </c>
      <c r="X192">
        <v>214.85</v>
      </c>
      <c r="Y192" s="1">
        <f t="shared" si="5"/>
        <v>0</v>
      </c>
      <c r="Z192" t="str">
        <f t="shared" si="4"/>
        <v/>
      </c>
    </row>
    <row r="193" spans="9:26" x14ac:dyDescent="0.25">
      <c r="I193">
        <v>183</v>
      </c>
      <c r="J193" t="s">
        <v>783</v>
      </c>
      <c r="K193">
        <v>214.4</v>
      </c>
      <c r="L193">
        <v>0.01</v>
      </c>
      <c r="M193" t="s">
        <v>0</v>
      </c>
      <c r="N193" t="s">
        <v>100</v>
      </c>
      <c r="O193" t="s">
        <v>101</v>
      </c>
      <c r="P193" t="s">
        <v>102</v>
      </c>
      <c r="Q193">
        <v>10</v>
      </c>
      <c r="R193">
        <v>3</v>
      </c>
      <c r="S193">
        <v>2</v>
      </c>
      <c r="T193">
        <v>214.21</v>
      </c>
      <c r="W193">
        <v>214.4</v>
      </c>
      <c r="X193">
        <v>214.4</v>
      </c>
      <c r="Y193" s="1">
        <f t="shared" si="5"/>
        <v>0</v>
      </c>
      <c r="Z193" t="str">
        <f t="shared" si="4"/>
        <v/>
      </c>
    </row>
    <row r="194" spans="9:26" x14ac:dyDescent="0.25">
      <c r="I194">
        <v>184</v>
      </c>
      <c r="J194" t="s">
        <v>784</v>
      </c>
      <c r="K194">
        <v>34.1</v>
      </c>
      <c r="L194">
        <v>0.05</v>
      </c>
      <c r="M194" t="s">
        <v>0</v>
      </c>
      <c r="N194" t="s">
        <v>785</v>
      </c>
      <c r="O194" t="s">
        <v>786</v>
      </c>
      <c r="P194" t="s">
        <v>787</v>
      </c>
      <c r="Q194">
        <v>1</v>
      </c>
      <c r="R194">
        <v>1</v>
      </c>
      <c r="S194">
        <v>2</v>
      </c>
      <c r="T194">
        <v>34.25</v>
      </c>
      <c r="W194">
        <v>34.1</v>
      </c>
      <c r="X194">
        <v>34.1</v>
      </c>
      <c r="Y194" s="1">
        <f t="shared" si="5"/>
        <v>0</v>
      </c>
      <c r="Z194" t="str">
        <f t="shared" si="4"/>
        <v/>
      </c>
    </row>
    <row r="195" spans="9:26" x14ac:dyDescent="0.25">
      <c r="I195">
        <v>185</v>
      </c>
      <c r="J195" t="s">
        <v>788</v>
      </c>
      <c r="K195">
        <v>1025.5999999999999</v>
      </c>
      <c r="L195">
        <v>0.2</v>
      </c>
      <c r="M195" t="s">
        <v>0</v>
      </c>
      <c r="N195" t="s">
        <v>103</v>
      </c>
      <c r="O195" t="s">
        <v>104</v>
      </c>
      <c r="P195" t="s">
        <v>105</v>
      </c>
      <c r="Q195">
        <v>1</v>
      </c>
      <c r="R195">
        <v>0.01</v>
      </c>
      <c r="S195">
        <v>1</v>
      </c>
      <c r="T195">
        <v>1039.4000000000001</v>
      </c>
      <c r="W195">
        <v>1025.5999999999999</v>
      </c>
      <c r="X195">
        <v>1025.5999999999999</v>
      </c>
      <c r="Y195" s="1">
        <f t="shared" si="5"/>
        <v>0</v>
      </c>
      <c r="Z195" t="str">
        <f t="shared" si="4"/>
        <v/>
      </c>
    </row>
    <row r="196" spans="9:26" x14ac:dyDescent="0.25">
      <c r="I196">
        <v>186</v>
      </c>
      <c r="J196" t="s">
        <v>789</v>
      </c>
      <c r="K196">
        <v>5.7060000000000004</v>
      </c>
      <c r="L196">
        <v>1E-3</v>
      </c>
      <c r="M196" t="s">
        <v>0</v>
      </c>
      <c r="N196" t="s">
        <v>106</v>
      </c>
      <c r="O196" t="s">
        <v>107</v>
      </c>
      <c r="P196" t="s">
        <v>108</v>
      </c>
      <c r="Q196">
        <v>100</v>
      </c>
      <c r="R196">
        <v>0.1</v>
      </c>
      <c r="S196">
        <v>3</v>
      </c>
      <c r="T196">
        <v>5.6520000000000001</v>
      </c>
      <c r="W196">
        <v>5.7060000000000004</v>
      </c>
      <c r="X196">
        <v>5.7060000000000004</v>
      </c>
      <c r="Y196" s="1">
        <f t="shared" si="5"/>
        <v>0</v>
      </c>
      <c r="Z196" t="str">
        <f t="shared" ref="Z196:Z259" si="6">IF($Y$8&gt;0.0009,IF($Y$8=Y196,I196,""),"")</f>
        <v/>
      </c>
    </row>
    <row r="197" spans="9:26" x14ac:dyDescent="0.25">
      <c r="I197">
        <v>187</v>
      </c>
      <c r="J197" t="s">
        <v>790</v>
      </c>
      <c r="K197">
        <v>49.4</v>
      </c>
      <c r="L197">
        <v>0.01</v>
      </c>
      <c r="M197" t="s">
        <v>0</v>
      </c>
      <c r="N197" t="s">
        <v>791</v>
      </c>
      <c r="O197" t="s">
        <v>792</v>
      </c>
      <c r="P197" t="s">
        <v>793</v>
      </c>
      <c r="Q197">
        <v>10</v>
      </c>
      <c r="R197">
        <v>1</v>
      </c>
      <c r="S197">
        <v>2</v>
      </c>
      <c r="T197">
        <v>49.35</v>
      </c>
      <c r="W197">
        <v>49.4</v>
      </c>
      <c r="X197">
        <v>49.4</v>
      </c>
      <c r="Y197" s="1">
        <f t="shared" si="5"/>
        <v>0</v>
      </c>
      <c r="Z197" t="str">
        <f t="shared" si="6"/>
        <v/>
      </c>
    </row>
    <row r="198" spans="9:26" x14ac:dyDescent="0.25">
      <c r="I198">
        <v>188</v>
      </c>
      <c r="J198" t="s">
        <v>794</v>
      </c>
      <c r="K198">
        <v>14.67</v>
      </c>
      <c r="L198">
        <v>1E-3</v>
      </c>
      <c r="M198" t="s">
        <v>0</v>
      </c>
      <c r="N198" t="s">
        <v>109</v>
      </c>
      <c r="O198" t="s">
        <v>110</v>
      </c>
      <c r="P198" t="s">
        <v>111</v>
      </c>
      <c r="Q198">
        <v>100</v>
      </c>
      <c r="R198">
        <v>0.09</v>
      </c>
      <c r="S198">
        <v>3</v>
      </c>
      <c r="T198">
        <v>14.644</v>
      </c>
      <c r="W198">
        <v>14.67</v>
      </c>
      <c r="X198">
        <v>14.67</v>
      </c>
      <c r="Y198" s="1">
        <f t="shared" si="5"/>
        <v>0</v>
      </c>
      <c r="Z198" t="str">
        <f t="shared" si="6"/>
        <v/>
      </c>
    </row>
    <row r="199" spans="9:26" x14ac:dyDescent="0.25">
      <c r="I199">
        <v>189</v>
      </c>
      <c r="J199" t="s">
        <v>795</v>
      </c>
      <c r="K199">
        <v>13.12</v>
      </c>
      <c r="L199">
        <v>0.02</v>
      </c>
      <c r="M199" t="s">
        <v>0</v>
      </c>
      <c r="N199" t="s">
        <v>796</v>
      </c>
      <c r="O199" t="s">
        <v>797</v>
      </c>
      <c r="P199" t="s">
        <v>798</v>
      </c>
      <c r="Q199">
        <v>100</v>
      </c>
      <c r="R199">
        <v>1</v>
      </c>
      <c r="S199">
        <v>2</v>
      </c>
      <c r="T199">
        <v>13.22</v>
      </c>
      <c r="W199">
        <v>13.12</v>
      </c>
      <c r="X199">
        <v>13.12</v>
      </c>
      <c r="Y199" s="1">
        <f t="shared" si="5"/>
        <v>0</v>
      </c>
      <c r="Z199" t="str">
        <f t="shared" si="6"/>
        <v/>
      </c>
    </row>
    <row r="200" spans="9:26" x14ac:dyDescent="0.25">
      <c r="I200">
        <v>190</v>
      </c>
      <c r="J200" t="s">
        <v>799</v>
      </c>
      <c r="K200">
        <v>22.95</v>
      </c>
      <c r="L200">
        <v>0.05</v>
      </c>
      <c r="M200" t="s">
        <v>0</v>
      </c>
      <c r="N200" t="s">
        <v>800</v>
      </c>
      <c r="O200" t="s">
        <v>801</v>
      </c>
      <c r="P200" t="s">
        <v>802</v>
      </c>
      <c r="Q200">
        <v>100</v>
      </c>
      <c r="R200">
        <v>1</v>
      </c>
      <c r="S200">
        <v>2</v>
      </c>
      <c r="T200">
        <v>23.05</v>
      </c>
      <c r="W200">
        <v>22.95</v>
      </c>
      <c r="X200">
        <v>22.95</v>
      </c>
      <c r="Y200" s="1">
        <f t="shared" si="5"/>
        <v>0</v>
      </c>
      <c r="Z200" t="str">
        <f t="shared" si="6"/>
        <v/>
      </c>
    </row>
    <row r="201" spans="9:26" x14ac:dyDescent="0.25">
      <c r="I201">
        <v>191</v>
      </c>
      <c r="J201" t="s">
        <v>803</v>
      </c>
      <c r="K201">
        <v>59.37</v>
      </c>
      <c r="L201">
        <v>0.01</v>
      </c>
      <c r="M201" t="s">
        <v>0</v>
      </c>
      <c r="N201" t="s">
        <v>112</v>
      </c>
      <c r="O201" t="s">
        <v>113</v>
      </c>
      <c r="P201" t="s">
        <v>114</v>
      </c>
      <c r="Q201">
        <v>10</v>
      </c>
      <c r="R201">
        <v>1</v>
      </c>
      <c r="S201">
        <v>2</v>
      </c>
      <c r="T201">
        <v>59.32</v>
      </c>
      <c r="W201">
        <v>59.37</v>
      </c>
      <c r="X201">
        <v>59.37</v>
      </c>
      <c r="Y201" s="1">
        <f t="shared" si="5"/>
        <v>0</v>
      </c>
      <c r="Z201" t="str">
        <f t="shared" si="6"/>
        <v/>
      </c>
    </row>
    <row r="202" spans="9:26" x14ac:dyDescent="0.25">
      <c r="I202">
        <v>192</v>
      </c>
      <c r="J202" t="s">
        <v>804</v>
      </c>
      <c r="K202">
        <v>0.999</v>
      </c>
      <c r="L202">
        <v>1E-3</v>
      </c>
      <c r="M202" t="s">
        <v>0</v>
      </c>
      <c r="N202" t="s">
        <v>805</v>
      </c>
      <c r="O202" t="s">
        <v>806</v>
      </c>
      <c r="P202" t="s">
        <v>807</v>
      </c>
      <c r="Q202">
        <v>1000</v>
      </c>
      <c r="R202">
        <v>4.7999999999999996E-3</v>
      </c>
      <c r="S202">
        <v>3</v>
      </c>
      <c r="T202">
        <v>0.999</v>
      </c>
      <c r="W202">
        <v>0.999</v>
      </c>
      <c r="X202">
        <v>0.999</v>
      </c>
      <c r="Y202" s="1">
        <f t="shared" si="5"/>
        <v>0</v>
      </c>
      <c r="Z202" t="str">
        <f t="shared" si="6"/>
        <v/>
      </c>
    </row>
    <row r="203" spans="9:26" x14ac:dyDescent="0.25">
      <c r="I203">
        <v>193</v>
      </c>
      <c r="J203" t="s">
        <v>808</v>
      </c>
      <c r="K203">
        <v>1.2030000000000001</v>
      </c>
      <c r="L203">
        <v>5.0000000000000001E-4</v>
      </c>
      <c r="M203" t="s">
        <v>0</v>
      </c>
      <c r="N203" t="s">
        <v>809</v>
      </c>
      <c r="O203" t="s">
        <v>810</v>
      </c>
      <c r="P203" t="s">
        <v>811</v>
      </c>
      <c r="Q203">
        <v>1000</v>
      </c>
      <c r="R203">
        <v>4.7999999999999996E-3</v>
      </c>
      <c r="S203">
        <v>4</v>
      </c>
      <c r="T203">
        <v>1.2015</v>
      </c>
      <c r="W203">
        <v>1.2030000000000001</v>
      </c>
      <c r="X203">
        <v>1.2030000000000001</v>
      </c>
      <c r="Y203" s="1">
        <f t="shared" si="5"/>
        <v>0</v>
      </c>
      <c r="Z203" t="str">
        <f t="shared" si="6"/>
        <v/>
      </c>
    </row>
    <row r="204" spans="9:26" x14ac:dyDescent="0.25">
      <c r="I204">
        <v>194</v>
      </c>
      <c r="J204" t="s">
        <v>812</v>
      </c>
      <c r="K204">
        <v>25.08</v>
      </c>
      <c r="L204">
        <v>5.0000000000000001E-3</v>
      </c>
      <c r="M204" t="s">
        <v>0</v>
      </c>
      <c r="N204" t="s">
        <v>115</v>
      </c>
      <c r="O204" t="s">
        <v>116</v>
      </c>
      <c r="P204" t="s">
        <v>117</v>
      </c>
      <c r="Q204">
        <v>100</v>
      </c>
      <c r="R204">
        <v>1</v>
      </c>
      <c r="S204">
        <v>3</v>
      </c>
      <c r="T204">
        <v>24.99</v>
      </c>
      <c r="W204">
        <v>25.08</v>
      </c>
      <c r="X204">
        <v>25.08</v>
      </c>
      <c r="Y204" s="1">
        <f t="shared" ref="Y204:Y267" si="7">IFERROR(ABS((W204-X204)/X204),0)</f>
        <v>0</v>
      </c>
      <c r="Z204" t="str">
        <f t="shared" si="6"/>
        <v/>
      </c>
    </row>
    <row r="205" spans="9:26" x14ac:dyDescent="0.25">
      <c r="I205">
        <v>195</v>
      </c>
      <c r="J205" t="s">
        <v>813</v>
      </c>
      <c r="K205">
        <v>34.979999999999997</v>
      </c>
      <c r="L205">
        <v>5.0000000000000001E-3</v>
      </c>
      <c r="M205" t="s">
        <v>0</v>
      </c>
      <c r="N205" t="s">
        <v>118</v>
      </c>
      <c r="O205" t="s">
        <v>119</v>
      </c>
      <c r="P205" t="s">
        <v>120</v>
      </c>
      <c r="Q205">
        <v>100</v>
      </c>
      <c r="R205">
        <v>1</v>
      </c>
      <c r="S205">
        <v>3</v>
      </c>
      <c r="T205">
        <v>34.585000000000001</v>
      </c>
      <c r="W205">
        <v>34.979999999999997</v>
      </c>
      <c r="X205">
        <v>34.979999999999997</v>
      </c>
      <c r="Y205" s="1">
        <f t="shared" si="7"/>
        <v>0</v>
      </c>
      <c r="Z205" t="str">
        <f t="shared" si="6"/>
        <v/>
      </c>
    </row>
    <row r="206" spans="9:26" x14ac:dyDescent="0.25">
      <c r="I206">
        <v>196</v>
      </c>
      <c r="J206" t="s">
        <v>814</v>
      </c>
      <c r="K206">
        <v>9.5460000000000007E-3</v>
      </c>
      <c r="L206">
        <v>1.9999999999999999E-6</v>
      </c>
      <c r="M206" t="s">
        <v>0</v>
      </c>
      <c r="N206" t="s">
        <v>815</v>
      </c>
      <c r="O206" t="s">
        <v>816</v>
      </c>
      <c r="P206" t="s">
        <v>817</v>
      </c>
      <c r="Q206">
        <v>100000</v>
      </c>
      <c r="R206">
        <v>0.01</v>
      </c>
      <c r="S206">
        <v>6</v>
      </c>
      <c r="T206">
        <v>9.724E-3</v>
      </c>
      <c r="W206">
        <v>9.5460000000000007E-3</v>
      </c>
      <c r="X206">
        <v>9.5460000000000007E-3</v>
      </c>
      <c r="Y206" s="1">
        <f t="shared" si="7"/>
        <v>0</v>
      </c>
      <c r="Z206" t="str">
        <f t="shared" si="6"/>
        <v/>
      </c>
    </row>
    <row r="207" spans="9:26" x14ac:dyDescent="0.25">
      <c r="I207">
        <v>197</v>
      </c>
      <c r="J207" t="s">
        <v>818</v>
      </c>
      <c r="K207">
        <v>4.5999999999999999E-3</v>
      </c>
      <c r="L207">
        <v>1.0000000000000001E-5</v>
      </c>
      <c r="M207" t="s">
        <v>0</v>
      </c>
      <c r="N207" t="s">
        <v>819</v>
      </c>
      <c r="O207" t="s">
        <v>820</v>
      </c>
      <c r="P207" t="s">
        <v>821</v>
      </c>
      <c r="Q207">
        <v>1000000</v>
      </c>
      <c r="R207">
        <v>1E-3</v>
      </c>
      <c r="S207">
        <v>5</v>
      </c>
      <c r="T207">
        <v>4.64E-3</v>
      </c>
      <c r="W207">
        <v>4.5999999999999999E-3</v>
      </c>
      <c r="X207">
        <v>4.5999999999999999E-3</v>
      </c>
      <c r="Y207" s="1">
        <f t="shared" si="7"/>
        <v>0</v>
      </c>
      <c r="Z207" t="str">
        <f t="shared" si="6"/>
        <v/>
      </c>
    </row>
    <row r="208" spans="9:26" x14ac:dyDescent="0.25">
      <c r="I208">
        <v>198</v>
      </c>
      <c r="J208" t="s">
        <v>822</v>
      </c>
      <c r="K208">
        <v>5.1500000000000001E-3</v>
      </c>
      <c r="L208">
        <v>5.0000000000000004E-6</v>
      </c>
      <c r="M208" t="s">
        <v>0</v>
      </c>
      <c r="N208" t="s">
        <v>823</v>
      </c>
      <c r="O208" t="s">
        <v>824</v>
      </c>
      <c r="P208" t="s">
        <v>825</v>
      </c>
      <c r="Q208">
        <v>1000000</v>
      </c>
      <c r="R208">
        <v>0.01</v>
      </c>
      <c r="S208">
        <v>6</v>
      </c>
      <c r="T208">
        <v>5.1749999999999999E-3</v>
      </c>
      <c r="W208">
        <v>5.1500000000000001E-3</v>
      </c>
      <c r="X208">
        <v>5.1500000000000001E-3</v>
      </c>
      <c r="Y208" s="1">
        <f t="shared" si="7"/>
        <v>0</v>
      </c>
      <c r="Z208" t="str">
        <f t="shared" si="6"/>
        <v/>
      </c>
    </row>
    <row r="209" spans="9:26" x14ac:dyDescent="0.25">
      <c r="I209">
        <v>199</v>
      </c>
      <c r="J209" t="s">
        <v>826</v>
      </c>
      <c r="K209">
        <v>1.1259999999999999E-2</v>
      </c>
      <c r="L209">
        <v>1.0000000000000001E-5</v>
      </c>
      <c r="M209" t="s">
        <v>0</v>
      </c>
      <c r="N209" t="s">
        <v>827</v>
      </c>
      <c r="O209" t="s">
        <v>828</v>
      </c>
      <c r="P209" t="s">
        <v>829</v>
      </c>
      <c r="Q209">
        <v>100000</v>
      </c>
      <c r="R209">
        <v>0.01</v>
      </c>
      <c r="S209">
        <v>5</v>
      </c>
      <c r="T209">
        <v>1.132E-2</v>
      </c>
      <c r="W209">
        <v>1.1259999999999999E-2</v>
      </c>
      <c r="X209">
        <v>1.1259999999999999E-2</v>
      </c>
      <c r="Y209" s="1">
        <f t="shared" si="7"/>
        <v>0</v>
      </c>
      <c r="Z209" t="str">
        <f t="shared" si="6"/>
        <v/>
      </c>
    </row>
    <row r="210" spans="9:26" x14ac:dyDescent="0.25">
      <c r="I210">
        <v>200</v>
      </c>
      <c r="J210" t="s">
        <v>830</v>
      </c>
      <c r="K210">
        <v>202</v>
      </c>
      <c r="L210">
        <v>0.5</v>
      </c>
      <c r="M210" t="s">
        <v>0</v>
      </c>
      <c r="N210" t="s">
        <v>831</v>
      </c>
      <c r="O210" t="s">
        <v>832</v>
      </c>
      <c r="P210" t="s">
        <v>833</v>
      </c>
      <c r="Q210">
        <v>10</v>
      </c>
      <c r="R210">
        <v>10</v>
      </c>
      <c r="S210">
        <v>1</v>
      </c>
      <c r="T210">
        <v>195</v>
      </c>
      <c r="W210">
        <v>202</v>
      </c>
      <c r="X210">
        <v>202</v>
      </c>
      <c r="Y210" s="1">
        <f t="shared" si="7"/>
        <v>0</v>
      </c>
      <c r="Z210" t="str">
        <f t="shared" si="6"/>
        <v/>
      </c>
    </row>
    <row r="211" spans="9:26" x14ac:dyDescent="0.25">
      <c r="I211">
        <v>201</v>
      </c>
      <c r="J211" t="s">
        <v>834</v>
      </c>
      <c r="K211">
        <v>16.61</v>
      </c>
      <c r="L211">
        <v>0.01</v>
      </c>
      <c r="M211" t="s">
        <v>0</v>
      </c>
      <c r="N211" t="s">
        <v>835</v>
      </c>
      <c r="O211" t="s">
        <v>836</v>
      </c>
      <c r="P211" t="s">
        <v>837</v>
      </c>
      <c r="Q211">
        <v>100</v>
      </c>
      <c r="R211">
        <v>1</v>
      </c>
      <c r="S211">
        <v>2</v>
      </c>
      <c r="T211">
        <v>16.45</v>
      </c>
      <c r="W211">
        <v>16.61</v>
      </c>
      <c r="X211">
        <v>16.61</v>
      </c>
      <c r="Y211" s="1">
        <f t="shared" si="7"/>
        <v>0</v>
      </c>
      <c r="Z211" t="str">
        <f t="shared" si="6"/>
        <v/>
      </c>
    </row>
    <row r="212" spans="9:26" x14ac:dyDescent="0.25">
      <c r="I212">
        <v>202</v>
      </c>
      <c r="J212" t="s">
        <v>838</v>
      </c>
      <c r="K212">
        <v>101.66</v>
      </c>
      <c r="L212">
        <v>0.02</v>
      </c>
      <c r="M212" t="s">
        <v>0</v>
      </c>
      <c r="N212" t="s">
        <v>839</v>
      </c>
      <c r="O212" t="s">
        <v>840</v>
      </c>
      <c r="P212" t="s">
        <v>841</v>
      </c>
      <c r="Q212">
        <v>10</v>
      </c>
      <c r="R212">
        <v>10</v>
      </c>
      <c r="S212">
        <v>2</v>
      </c>
      <c r="T212">
        <v>101.54</v>
      </c>
      <c r="W212">
        <v>101.66</v>
      </c>
      <c r="X212">
        <v>101.66</v>
      </c>
      <c r="Y212" s="1">
        <f t="shared" si="7"/>
        <v>0</v>
      </c>
      <c r="Z212" t="str">
        <f t="shared" si="6"/>
        <v/>
      </c>
    </row>
    <row r="213" spans="9:26" x14ac:dyDescent="0.25">
      <c r="I213">
        <v>203</v>
      </c>
      <c r="J213" t="s">
        <v>842</v>
      </c>
      <c r="K213">
        <v>249.5</v>
      </c>
      <c r="L213">
        <v>0.5</v>
      </c>
      <c r="M213" t="s">
        <v>0</v>
      </c>
      <c r="N213" t="s">
        <v>843</v>
      </c>
      <c r="O213" t="s">
        <v>844</v>
      </c>
      <c r="P213" t="s">
        <v>845</v>
      </c>
      <c r="Q213">
        <v>10</v>
      </c>
      <c r="R213">
        <v>0.56000000000000005</v>
      </c>
      <c r="S213">
        <v>1</v>
      </c>
      <c r="T213">
        <v>265</v>
      </c>
      <c r="W213">
        <v>249.5</v>
      </c>
      <c r="X213">
        <v>249.5</v>
      </c>
      <c r="Y213" s="1">
        <f t="shared" si="7"/>
        <v>0</v>
      </c>
      <c r="Z213" t="str">
        <f t="shared" si="6"/>
        <v/>
      </c>
    </row>
    <row r="214" spans="9:26" x14ac:dyDescent="0.25">
      <c r="I214">
        <v>204</v>
      </c>
      <c r="J214" t="s">
        <v>846</v>
      </c>
      <c r="K214">
        <v>24.3</v>
      </c>
      <c r="L214">
        <v>0.1</v>
      </c>
      <c r="M214" t="s">
        <v>0</v>
      </c>
      <c r="N214" t="s">
        <v>847</v>
      </c>
      <c r="O214" t="s">
        <v>848</v>
      </c>
      <c r="P214" t="s">
        <v>849</v>
      </c>
      <c r="Q214">
        <v>100</v>
      </c>
      <c r="R214">
        <v>0.1</v>
      </c>
      <c r="S214">
        <v>1</v>
      </c>
      <c r="T214">
        <v>25.2</v>
      </c>
      <c r="W214">
        <v>24.3</v>
      </c>
      <c r="X214">
        <v>24.3</v>
      </c>
      <c r="Y214" s="1">
        <f t="shared" si="7"/>
        <v>0</v>
      </c>
      <c r="Z214" t="str">
        <f t="shared" si="6"/>
        <v/>
      </c>
    </row>
    <row r="215" spans="9:26" x14ac:dyDescent="0.25">
      <c r="I215">
        <v>205</v>
      </c>
      <c r="J215" t="s">
        <v>850</v>
      </c>
      <c r="K215">
        <v>114.4</v>
      </c>
      <c r="L215">
        <v>0.2</v>
      </c>
      <c r="M215" t="s">
        <v>0</v>
      </c>
      <c r="N215" t="s">
        <v>851</v>
      </c>
      <c r="O215" t="s">
        <v>852</v>
      </c>
      <c r="P215" t="s">
        <v>853</v>
      </c>
      <c r="Q215">
        <v>10</v>
      </c>
      <c r="R215">
        <v>0.4</v>
      </c>
      <c r="S215">
        <v>1</v>
      </c>
      <c r="T215">
        <v>123.8</v>
      </c>
      <c r="W215">
        <v>114.4</v>
      </c>
      <c r="X215">
        <v>114.4</v>
      </c>
      <c r="Y215" s="1">
        <f t="shared" si="7"/>
        <v>0</v>
      </c>
      <c r="Z215" t="str">
        <f t="shared" si="6"/>
        <v/>
      </c>
    </row>
    <row r="216" spans="9:26" x14ac:dyDescent="0.25">
      <c r="I216">
        <v>206</v>
      </c>
      <c r="J216" t="s">
        <v>854</v>
      </c>
      <c r="K216">
        <v>381.2</v>
      </c>
      <c r="L216">
        <v>0.2</v>
      </c>
      <c r="M216" t="s">
        <v>0</v>
      </c>
      <c r="N216" t="s">
        <v>855</v>
      </c>
      <c r="O216" t="s">
        <v>856</v>
      </c>
      <c r="P216" t="s">
        <v>857</v>
      </c>
      <c r="Q216">
        <v>10</v>
      </c>
      <c r="R216">
        <v>0.4</v>
      </c>
      <c r="S216">
        <v>1</v>
      </c>
      <c r="T216">
        <v>391.2</v>
      </c>
      <c r="W216">
        <v>381.2</v>
      </c>
      <c r="X216">
        <v>381.2</v>
      </c>
      <c r="Y216" s="1">
        <f t="shared" si="7"/>
        <v>0</v>
      </c>
      <c r="Z216" t="str">
        <f t="shared" si="6"/>
        <v/>
      </c>
    </row>
    <row r="217" spans="9:26" x14ac:dyDescent="0.25">
      <c r="I217">
        <v>207</v>
      </c>
      <c r="J217" t="s">
        <v>858</v>
      </c>
      <c r="K217">
        <v>24.6</v>
      </c>
      <c r="L217">
        <v>0.1</v>
      </c>
      <c r="M217" t="s">
        <v>0</v>
      </c>
      <c r="N217" t="s">
        <v>859</v>
      </c>
      <c r="O217" t="s">
        <v>860</v>
      </c>
      <c r="P217" t="s">
        <v>861</v>
      </c>
      <c r="Q217">
        <v>100</v>
      </c>
      <c r="R217">
        <v>0.1</v>
      </c>
      <c r="S217">
        <v>1</v>
      </c>
      <c r="T217">
        <v>24.8</v>
      </c>
      <c r="W217">
        <v>24.6</v>
      </c>
      <c r="X217">
        <v>24.6</v>
      </c>
      <c r="Y217" s="1">
        <f t="shared" si="7"/>
        <v>0</v>
      </c>
      <c r="Z217" t="str">
        <f t="shared" si="6"/>
        <v/>
      </c>
    </row>
    <row r="218" spans="9:26" x14ac:dyDescent="0.25">
      <c r="I218">
        <v>208</v>
      </c>
      <c r="J218" t="s">
        <v>862</v>
      </c>
      <c r="K218">
        <v>2590</v>
      </c>
      <c r="L218">
        <v>5</v>
      </c>
      <c r="M218" t="s">
        <v>0</v>
      </c>
      <c r="N218" t="s">
        <v>863</v>
      </c>
      <c r="O218" t="s">
        <v>864</v>
      </c>
      <c r="P218" t="s">
        <v>865</v>
      </c>
      <c r="Q218">
        <v>1</v>
      </c>
      <c r="R218">
        <v>11.88</v>
      </c>
      <c r="S218">
        <v>0</v>
      </c>
      <c r="T218">
        <v>2610</v>
      </c>
      <c r="W218">
        <v>2590</v>
      </c>
      <c r="X218">
        <v>2590</v>
      </c>
      <c r="Y218" s="1">
        <f t="shared" si="7"/>
        <v>0</v>
      </c>
      <c r="Z218" t="str">
        <f t="shared" si="6"/>
        <v/>
      </c>
    </row>
    <row r="219" spans="9:26" x14ac:dyDescent="0.25">
      <c r="I219">
        <v>209</v>
      </c>
      <c r="J219" t="s">
        <v>866</v>
      </c>
      <c r="K219">
        <v>818</v>
      </c>
      <c r="L219">
        <v>1</v>
      </c>
      <c r="M219" t="s">
        <v>0</v>
      </c>
      <c r="N219" t="s">
        <v>867</v>
      </c>
      <c r="O219" t="s">
        <v>868</v>
      </c>
      <c r="P219" t="s">
        <v>869</v>
      </c>
      <c r="Q219">
        <v>1</v>
      </c>
      <c r="R219">
        <v>11.88</v>
      </c>
      <c r="S219">
        <v>0</v>
      </c>
      <c r="T219">
        <v>772</v>
      </c>
      <c r="W219">
        <v>818</v>
      </c>
      <c r="X219">
        <v>818</v>
      </c>
      <c r="Y219" s="1">
        <f t="shared" si="7"/>
        <v>0</v>
      </c>
      <c r="Z219" t="str">
        <f t="shared" si="6"/>
        <v/>
      </c>
    </row>
    <row r="220" spans="9:26" x14ac:dyDescent="0.25">
      <c r="I220">
        <v>210</v>
      </c>
      <c r="J220" t="s">
        <v>870</v>
      </c>
      <c r="K220">
        <v>1.1399999999999999</v>
      </c>
      <c r="L220">
        <v>2E-3</v>
      </c>
      <c r="M220" t="s">
        <v>0</v>
      </c>
      <c r="N220" t="s">
        <v>871</v>
      </c>
      <c r="O220" t="s">
        <v>872</v>
      </c>
      <c r="P220" t="s">
        <v>873</v>
      </c>
      <c r="Q220">
        <v>1000</v>
      </c>
      <c r="R220">
        <v>0.02</v>
      </c>
      <c r="S220">
        <v>3</v>
      </c>
      <c r="T220">
        <v>1.0680000000000001</v>
      </c>
      <c r="W220">
        <v>1.1399999999999999</v>
      </c>
      <c r="X220">
        <v>1.1399999999999999</v>
      </c>
      <c r="Y220" s="1">
        <f t="shared" si="7"/>
        <v>0</v>
      </c>
      <c r="Z220" t="str">
        <f t="shared" si="6"/>
        <v/>
      </c>
    </row>
    <row r="221" spans="9:26" x14ac:dyDescent="0.25">
      <c r="I221">
        <v>211</v>
      </c>
      <c r="J221" t="s">
        <v>874</v>
      </c>
      <c r="K221">
        <v>1.004</v>
      </c>
      <c r="L221">
        <v>1E-3</v>
      </c>
      <c r="M221" t="s">
        <v>0</v>
      </c>
      <c r="N221" t="s">
        <v>875</v>
      </c>
      <c r="O221" t="s">
        <v>876</v>
      </c>
      <c r="P221" t="s">
        <v>877</v>
      </c>
      <c r="Q221">
        <v>1000</v>
      </c>
      <c r="R221">
        <v>0.02</v>
      </c>
      <c r="S221">
        <v>3</v>
      </c>
      <c r="T221">
        <v>1.0269999999999999</v>
      </c>
      <c r="W221">
        <v>1.004</v>
      </c>
      <c r="X221">
        <v>1.004</v>
      </c>
      <c r="Y221" s="1">
        <f t="shared" si="7"/>
        <v>0</v>
      </c>
      <c r="Z221" t="str">
        <f t="shared" si="6"/>
        <v/>
      </c>
    </row>
    <row r="222" spans="9:26" x14ac:dyDescent="0.25">
      <c r="I222">
        <v>212</v>
      </c>
      <c r="J222" t="s">
        <v>878</v>
      </c>
      <c r="K222">
        <v>244</v>
      </c>
      <c r="L222">
        <v>2</v>
      </c>
      <c r="M222" t="s">
        <v>0</v>
      </c>
      <c r="N222" t="s">
        <v>879</v>
      </c>
      <c r="O222" t="s">
        <v>880</v>
      </c>
      <c r="P222" t="s">
        <v>881</v>
      </c>
      <c r="Q222">
        <v>10</v>
      </c>
      <c r="R222">
        <v>1</v>
      </c>
      <c r="S222">
        <v>0</v>
      </c>
      <c r="T222">
        <v>228</v>
      </c>
      <c r="W222">
        <v>244</v>
      </c>
      <c r="X222">
        <v>244</v>
      </c>
      <c r="Y222" s="1">
        <f t="shared" si="7"/>
        <v>0</v>
      </c>
      <c r="Z222" t="str">
        <f t="shared" si="6"/>
        <v/>
      </c>
    </row>
    <row r="223" spans="9:26" x14ac:dyDescent="0.25">
      <c r="I223">
        <v>213</v>
      </c>
      <c r="J223" t="s">
        <v>882</v>
      </c>
      <c r="K223">
        <v>107.5</v>
      </c>
      <c r="L223">
        <v>0.5</v>
      </c>
      <c r="M223" t="s">
        <v>0</v>
      </c>
      <c r="N223" t="s">
        <v>883</v>
      </c>
      <c r="O223" t="s">
        <v>884</v>
      </c>
      <c r="P223" t="s">
        <v>885</v>
      </c>
      <c r="Q223">
        <v>10</v>
      </c>
      <c r="R223">
        <v>1</v>
      </c>
      <c r="S223">
        <v>1</v>
      </c>
      <c r="T223">
        <v>98.5</v>
      </c>
      <c r="W223">
        <v>107.5</v>
      </c>
      <c r="X223">
        <v>107.5</v>
      </c>
      <c r="Y223" s="1">
        <f t="shared" si="7"/>
        <v>0</v>
      </c>
      <c r="Z223" t="str">
        <f t="shared" si="6"/>
        <v/>
      </c>
    </row>
    <row r="224" spans="9:26" x14ac:dyDescent="0.25">
      <c r="I224">
        <v>214</v>
      </c>
      <c r="J224" t="s">
        <v>886</v>
      </c>
      <c r="K224">
        <v>925</v>
      </c>
      <c r="L224">
        <v>5</v>
      </c>
      <c r="M224" t="s">
        <v>0</v>
      </c>
      <c r="N224" t="s">
        <v>887</v>
      </c>
      <c r="O224" t="s">
        <v>888</v>
      </c>
      <c r="P224" t="s">
        <v>889</v>
      </c>
      <c r="Q224">
        <v>1</v>
      </c>
      <c r="R224">
        <v>1</v>
      </c>
      <c r="S224">
        <v>0</v>
      </c>
      <c r="T224">
        <v>820</v>
      </c>
      <c r="W224">
        <v>925</v>
      </c>
      <c r="X224">
        <v>925</v>
      </c>
      <c r="Y224" s="1">
        <f t="shared" si="7"/>
        <v>0</v>
      </c>
      <c r="Z224" t="str">
        <f t="shared" si="6"/>
        <v/>
      </c>
    </row>
    <row r="225" spans="9:26" x14ac:dyDescent="0.25">
      <c r="I225">
        <v>215</v>
      </c>
      <c r="J225" t="s">
        <v>890</v>
      </c>
      <c r="K225">
        <v>0.45300000000000001</v>
      </c>
      <c r="L225">
        <v>1E-3</v>
      </c>
      <c r="M225" t="s">
        <v>0</v>
      </c>
      <c r="N225" t="s">
        <v>891</v>
      </c>
      <c r="O225" t="s">
        <v>892</v>
      </c>
      <c r="P225" t="s">
        <v>893</v>
      </c>
      <c r="Q225">
        <v>10000</v>
      </c>
      <c r="R225">
        <v>0.49159999999999998</v>
      </c>
      <c r="S225">
        <v>3</v>
      </c>
      <c r="T225">
        <v>0.432</v>
      </c>
      <c r="W225">
        <v>0.45300000000000001</v>
      </c>
      <c r="X225">
        <v>0.45300000000000001</v>
      </c>
      <c r="Y225" s="1">
        <f t="shared" si="7"/>
        <v>0</v>
      </c>
      <c r="Z225" t="str">
        <f t="shared" si="6"/>
        <v/>
      </c>
    </row>
    <row r="226" spans="9:26" x14ac:dyDescent="0.25">
      <c r="I226">
        <v>216</v>
      </c>
      <c r="J226" t="s">
        <v>894</v>
      </c>
      <c r="K226">
        <v>0.32500000000000001</v>
      </c>
      <c r="L226">
        <v>5.0000000000000001E-4</v>
      </c>
      <c r="M226" t="s">
        <v>0</v>
      </c>
      <c r="N226" t="s">
        <v>895</v>
      </c>
      <c r="O226" t="s">
        <v>896</v>
      </c>
      <c r="P226" t="s">
        <v>897</v>
      </c>
      <c r="Q226">
        <v>10000</v>
      </c>
      <c r="R226">
        <v>0.49159999999999998</v>
      </c>
      <c r="S226">
        <v>4</v>
      </c>
      <c r="T226">
        <v>0.317</v>
      </c>
      <c r="W226">
        <v>0.32500000000000001</v>
      </c>
      <c r="X226">
        <v>0.32500000000000001</v>
      </c>
      <c r="Y226" s="1">
        <f t="shared" si="7"/>
        <v>0</v>
      </c>
      <c r="Z226" t="str">
        <f t="shared" si="6"/>
        <v/>
      </c>
    </row>
    <row r="227" spans="9:26" x14ac:dyDescent="0.25">
      <c r="I227">
        <v>217</v>
      </c>
      <c r="J227" t="s">
        <v>898</v>
      </c>
      <c r="K227">
        <v>0.58699999999999997</v>
      </c>
      <c r="L227">
        <v>5.0000000000000001E-4</v>
      </c>
      <c r="M227" t="s">
        <v>0</v>
      </c>
      <c r="N227" t="s">
        <v>899</v>
      </c>
      <c r="O227" t="s">
        <v>900</v>
      </c>
      <c r="P227" t="s">
        <v>901</v>
      </c>
      <c r="Q227">
        <v>1000</v>
      </c>
      <c r="R227">
        <v>0.02</v>
      </c>
      <c r="S227">
        <v>4</v>
      </c>
      <c r="T227">
        <v>0.59950000000000003</v>
      </c>
      <c r="W227">
        <v>0.58699999999999997</v>
      </c>
      <c r="X227">
        <v>0.58699999999999997</v>
      </c>
      <c r="Y227" s="1">
        <f t="shared" si="7"/>
        <v>0</v>
      </c>
      <c r="Z227" t="str">
        <f t="shared" si="6"/>
        <v/>
      </c>
    </row>
    <row r="228" spans="9:26" x14ac:dyDescent="0.25">
      <c r="I228">
        <v>218</v>
      </c>
      <c r="J228" t="s">
        <v>902</v>
      </c>
      <c r="K228">
        <v>0.44550000000000001</v>
      </c>
      <c r="L228">
        <v>5.0000000000000001E-4</v>
      </c>
      <c r="M228" t="s">
        <v>0</v>
      </c>
      <c r="N228" t="s">
        <v>903</v>
      </c>
      <c r="O228" t="s">
        <v>904</v>
      </c>
      <c r="P228" t="s">
        <v>905</v>
      </c>
      <c r="Q228">
        <v>10000</v>
      </c>
      <c r="R228">
        <v>0.02</v>
      </c>
      <c r="S228">
        <v>4</v>
      </c>
      <c r="T228">
        <v>0.4395</v>
      </c>
      <c r="W228">
        <v>0.44550000000000001</v>
      </c>
      <c r="X228">
        <v>0.44550000000000001</v>
      </c>
      <c r="Y228" s="1">
        <f t="shared" si="7"/>
        <v>0</v>
      </c>
      <c r="Z228" t="str">
        <f t="shared" si="6"/>
        <v/>
      </c>
    </row>
    <row r="229" spans="9:26" x14ac:dyDescent="0.25">
      <c r="I229">
        <v>219</v>
      </c>
      <c r="J229" t="s">
        <v>906</v>
      </c>
      <c r="K229">
        <v>392.7</v>
      </c>
      <c r="L229">
        <v>0.1</v>
      </c>
      <c r="M229" t="s">
        <v>0</v>
      </c>
      <c r="N229" t="s">
        <v>121</v>
      </c>
      <c r="O229" t="s">
        <v>122</v>
      </c>
      <c r="P229" t="s">
        <v>123</v>
      </c>
      <c r="Q229">
        <v>1</v>
      </c>
      <c r="R229">
        <v>1</v>
      </c>
      <c r="S229">
        <v>1</v>
      </c>
      <c r="T229">
        <v>389.5</v>
      </c>
      <c r="W229">
        <v>392.7</v>
      </c>
      <c r="X229">
        <v>392.7</v>
      </c>
      <c r="Y229" s="1">
        <f t="shared" si="7"/>
        <v>0</v>
      </c>
      <c r="Z229" t="str">
        <f t="shared" si="6"/>
        <v/>
      </c>
    </row>
    <row r="230" spans="9:26" x14ac:dyDescent="0.25">
      <c r="I230">
        <v>220</v>
      </c>
      <c r="J230" t="s">
        <v>907</v>
      </c>
      <c r="K230">
        <v>388.8</v>
      </c>
      <c r="L230">
        <v>0.1</v>
      </c>
      <c r="M230" t="s">
        <v>0</v>
      </c>
      <c r="N230" t="s">
        <v>124</v>
      </c>
      <c r="O230" t="s">
        <v>125</v>
      </c>
      <c r="P230" t="s">
        <v>126</v>
      </c>
      <c r="Q230">
        <v>1</v>
      </c>
      <c r="R230">
        <v>1</v>
      </c>
      <c r="S230">
        <v>1</v>
      </c>
      <c r="T230">
        <v>385.4</v>
      </c>
      <c r="W230">
        <v>388.8</v>
      </c>
      <c r="X230">
        <v>388.8</v>
      </c>
      <c r="Y230" s="1">
        <f t="shared" si="7"/>
        <v>0</v>
      </c>
      <c r="Z230" t="str">
        <f t="shared" si="6"/>
        <v/>
      </c>
    </row>
    <row r="231" spans="9:26" x14ac:dyDescent="0.25">
      <c r="I231">
        <v>221</v>
      </c>
      <c r="J231" t="s">
        <v>908</v>
      </c>
      <c r="K231">
        <v>0.82699999999999996</v>
      </c>
      <c r="L231">
        <v>5.0000000000000001E-4</v>
      </c>
      <c r="M231" t="s">
        <v>0</v>
      </c>
      <c r="N231" t="s">
        <v>909</v>
      </c>
      <c r="O231" t="s">
        <v>910</v>
      </c>
      <c r="P231" t="s">
        <v>911</v>
      </c>
      <c r="Q231">
        <v>1000</v>
      </c>
      <c r="R231">
        <v>0.1</v>
      </c>
      <c r="S231">
        <v>4</v>
      </c>
      <c r="T231">
        <v>0.80400000000000005</v>
      </c>
      <c r="W231">
        <v>0.82699999999999996</v>
      </c>
      <c r="X231">
        <v>0.82699999999999996</v>
      </c>
      <c r="Y231" s="1">
        <f t="shared" si="7"/>
        <v>0</v>
      </c>
      <c r="Z231" t="str">
        <f t="shared" si="6"/>
        <v/>
      </c>
    </row>
    <row r="232" spans="9:26" x14ac:dyDescent="0.25">
      <c r="I232">
        <v>222</v>
      </c>
      <c r="J232" t="s">
        <v>912</v>
      </c>
      <c r="K232">
        <v>16.7</v>
      </c>
      <c r="L232">
        <v>0.02</v>
      </c>
      <c r="M232" t="s">
        <v>0</v>
      </c>
      <c r="N232" t="s">
        <v>913</v>
      </c>
      <c r="O232" t="s">
        <v>914</v>
      </c>
      <c r="P232" t="s">
        <v>915</v>
      </c>
      <c r="Q232">
        <v>100</v>
      </c>
      <c r="R232">
        <v>1</v>
      </c>
      <c r="S232">
        <v>2</v>
      </c>
      <c r="T232">
        <v>16.8</v>
      </c>
      <c r="W232">
        <v>16.7</v>
      </c>
      <c r="X232">
        <v>16.7</v>
      </c>
      <c r="Y232" s="1">
        <f t="shared" si="7"/>
        <v>0</v>
      </c>
      <c r="Z232" t="str">
        <f t="shared" si="6"/>
        <v/>
      </c>
    </row>
    <row r="233" spans="9:26" x14ac:dyDescent="0.25">
      <c r="I233">
        <v>223</v>
      </c>
      <c r="J233" t="s">
        <v>916</v>
      </c>
      <c r="K233">
        <v>14.5</v>
      </c>
      <c r="L233">
        <v>0.02</v>
      </c>
      <c r="M233" t="s">
        <v>0</v>
      </c>
      <c r="N233" t="s">
        <v>917</v>
      </c>
      <c r="O233" t="s">
        <v>918</v>
      </c>
      <c r="P233" t="s">
        <v>919</v>
      </c>
      <c r="Q233">
        <v>100</v>
      </c>
      <c r="R233">
        <v>1</v>
      </c>
      <c r="S233">
        <v>2</v>
      </c>
      <c r="T233">
        <v>14.4</v>
      </c>
      <c r="W233">
        <v>14.5</v>
      </c>
      <c r="X233">
        <v>14.5</v>
      </c>
      <c r="Y233" s="1">
        <f t="shared" si="7"/>
        <v>0</v>
      </c>
      <c r="Z233" t="str">
        <f t="shared" si="6"/>
        <v/>
      </c>
    </row>
    <row r="234" spans="9:26" x14ac:dyDescent="0.25">
      <c r="I234">
        <v>224</v>
      </c>
      <c r="J234" t="s">
        <v>920</v>
      </c>
      <c r="K234">
        <v>125150</v>
      </c>
      <c r="L234">
        <v>50</v>
      </c>
      <c r="M234" t="s">
        <v>0</v>
      </c>
      <c r="N234" t="s">
        <v>127</v>
      </c>
      <c r="O234" t="s">
        <v>128</v>
      </c>
      <c r="P234" t="s">
        <v>129</v>
      </c>
      <c r="Q234">
        <v>1</v>
      </c>
      <c r="R234">
        <v>1</v>
      </c>
      <c r="S234">
        <v>0</v>
      </c>
      <c r="T234">
        <v>126000</v>
      </c>
      <c r="W234">
        <v>125150</v>
      </c>
      <c r="X234">
        <v>125150</v>
      </c>
      <c r="Y234" s="1">
        <f t="shared" si="7"/>
        <v>0</v>
      </c>
      <c r="Z234" t="str">
        <f t="shared" si="6"/>
        <v/>
      </c>
    </row>
    <row r="235" spans="9:26" x14ac:dyDescent="0.25">
      <c r="I235">
        <v>225</v>
      </c>
      <c r="J235" t="s">
        <v>921</v>
      </c>
      <c r="K235">
        <v>22400</v>
      </c>
      <c r="L235">
        <v>50</v>
      </c>
      <c r="M235" t="s">
        <v>0</v>
      </c>
      <c r="N235" t="s">
        <v>922</v>
      </c>
      <c r="O235" t="s">
        <v>923</v>
      </c>
      <c r="P235" t="s">
        <v>924</v>
      </c>
      <c r="Q235">
        <v>1</v>
      </c>
      <c r="R235">
        <v>1</v>
      </c>
      <c r="S235">
        <v>0</v>
      </c>
      <c r="T235">
        <v>22650</v>
      </c>
      <c r="W235">
        <v>22400</v>
      </c>
      <c r="X235">
        <v>22400</v>
      </c>
      <c r="Y235" s="1">
        <f t="shared" si="7"/>
        <v>0</v>
      </c>
      <c r="Z235" t="str">
        <f t="shared" si="6"/>
        <v/>
      </c>
    </row>
    <row r="236" spans="9:26" x14ac:dyDescent="0.25">
      <c r="I236">
        <v>226</v>
      </c>
      <c r="J236" t="s">
        <v>925</v>
      </c>
      <c r="K236">
        <v>0.10009999999999999</v>
      </c>
      <c r="L236">
        <v>1E-4</v>
      </c>
      <c r="M236" t="s">
        <v>0</v>
      </c>
      <c r="N236" t="s">
        <v>926</v>
      </c>
      <c r="O236" t="s">
        <v>927</v>
      </c>
      <c r="P236" t="s">
        <v>928</v>
      </c>
      <c r="Q236">
        <v>10000</v>
      </c>
      <c r="R236">
        <v>0.1</v>
      </c>
      <c r="S236">
        <v>4</v>
      </c>
      <c r="T236">
        <v>9.9599999999999994E-2</v>
      </c>
      <c r="W236">
        <v>0.10009999999999999</v>
      </c>
      <c r="X236">
        <v>0.10009999999999999</v>
      </c>
      <c r="Y236" s="1">
        <f t="shared" si="7"/>
        <v>0</v>
      </c>
      <c r="Z236" t="str">
        <f t="shared" si="6"/>
        <v/>
      </c>
    </row>
    <row r="237" spans="9:26" x14ac:dyDescent="0.25">
      <c r="I237">
        <v>227</v>
      </c>
      <c r="J237" t="s">
        <v>929</v>
      </c>
      <c r="K237">
        <v>7266</v>
      </c>
      <c r="L237">
        <v>1</v>
      </c>
      <c r="M237" t="s">
        <v>0</v>
      </c>
      <c r="N237" t="s">
        <v>130</v>
      </c>
      <c r="O237" t="s">
        <v>131</v>
      </c>
      <c r="P237" t="s">
        <v>132</v>
      </c>
      <c r="Q237">
        <v>1</v>
      </c>
      <c r="R237">
        <v>2.5</v>
      </c>
      <c r="S237">
        <v>0</v>
      </c>
      <c r="T237">
        <v>7280</v>
      </c>
      <c r="W237">
        <v>7266</v>
      </c>
      <c r="X237">
        <v>7266</v>
      </c>
      <c r="Y237" s="1">
        <f t="shared" si="7"/>
        <v>0</v>
      </c>
      <c r="Z237" t="str">
        <f t="shared" si="6"/>
        <v/>
      </c>
    </row>
    <row r="238" spans="9:26" x14ac:dyDescent="0.25">
      <c r="I238">
        <v>228</v>
      </c>
      <c r="J238" t="s">
        <v>930</v>
      </c>
      <c r="K238">
        <v>20.56</v>
      </c>
      <c r="L238">
        <v>0.01</v>
      </c>
      <c r="M238" t="s">
        <v>0</v>
      </c>
      <c r="N238" t="s">
        <v>931</v>
      </c>
      <c r="O238" t="s">
        <v>932</v>
      </c>
      <c r="P238" t="s">
        <v>933</v>
      </c>
      <c r="Q238">
        <v>100</v>
      </c>
      <c r="R238">
        <v>1</v>
      </c>
      <c r="S238">
        <v>2</v>
      </c>
      <c r="T238">
        <v>20.399999999999999</v>
      </c>
      <c r="W238">
        <v>20.56</v>
      </c>
      <c r="X238">
        <v>20.56</v>
      </c>
      <c r="Y238" s="1">
        <f t="shared" si="7"/>
        <v>0</v>
      </c>
      <c r="Z238" t="str">
        <f t="shared" si="6"/>
        <v/>
      </c>
    </row>
    <row r="239" spans="9:26" x14ac:dyDescent="0.25">
      <c r="I239">
        <v>229</v>
      </c>
      <c r="J239" t="s">
        <v>934</v>
      </c>
      <c r="K239">
        <v>10.42</v>
      </c>
      <c r="L239">
        <v>0.02</v>
      </c>
      <c r="M239" t="s">
        <v>0</v>
      </c>
      <c r="N239" t="s">
        <v>935</v>
      </c>
      <c r="O239" t="s">
        <v>936</v>
      </c>
      <c r="P239" t="s">
        <v>937</v>
      </c>
      <c r="Q239">
        <v>100</v>
      </c>
      <c r="R239">
        <v>1</v>
      </c>
      <c r="S239">
        <v>2</v>
      </c>
      <c r="T239">
        <v>10.38</v>
      </c>
      <c r="W239">
        <v>10.42</v>
      </c>
      <c r="X239">
        <v>10.42</v>
      </c>
      <c r="Y239" s="1">
        <f t="shared" si="7"/>
        <v>0</v>
      </c>
      <c r="Z239" t="str">
        <f t="shared" si="6"/>
        <v/>
      </c>
    </row>
    <row r="240" spans="9:26" x14ac:dyDescent="0.25">
      <c r="I240">
        <v>230</v>
      </c>
      <c r="J240" t="s">
        <v>938</v>
      </c>
      <c r="K240">
        <v>8.5399999999999991</v>
      </c>
      <c r="L240">
        <v>0.02</v>
      </c>
      <c r="M240" t="s">
        <v>0</v>
      </c>
      <c r="N240" t="s">
        <v>939</v>
      </c>
      <c r="O240" t="s">
        <v>940</v>
      </c>
      <c r="P240" t="s">
        <v>941</v>
      </c>
      <c r="Q240">
        <v>100</v>
      </c>
      <c r="R240">
        <v>1</v>
      </c>
      <c r="S240">
        <v>2</v>
      </c>
      <c r="T240">
        <v>8.52</v>
      </c>
      <c r="W240">
        <v>8.5399999999999991</v>
      </c>
      <c r="X240">
        <v>8.5399999999999991</v>
      </c>
      <c r="Y240" s="1">
        <f t="shared" si="7"/>
        <v>0</v>
      </c>
      <c r="Z240" t="str">
        <f t="shared" si="6"/>
        <v/>
      </c>
    </row>
    <row r="241" spans="9:26" x14ac:dyDescent="0.25">
      <c r="I241">
        <v>231</v>
      </c>
      <c r="J241" t="s">
        <v>942</v>
      </c>
      <c r="K241">
        <v>13840</v>
      </c>
      <c r="L241">
        <v>20</v>
      </c>
      <c r="M241" t="s">
        <v>0</v>
      </c>
      <c r="N241" t="s">
        <v>943</v>
      </c>
      <c r="O241" t="s">
        <v>944</v>
      </c>
      <c r="P241" t="s">
        <v>945</v>
      </c>
      <c r="Q241">
        <v>1</v>
      </c>
      <c r="R241">
        <v>200</v>
      </c>
      <c r="S241">
        <v>0</v>
      </c>
      <c r="T241">
        <v>14060</v>
      </c>
      <c r="W241">
        <v>13840</v>
      </c>
      <c r="X241">
        <v>13840</v>
      </c>
      <c r="Y241" s="1">
        <f t="shared" si="7"/>
        <v>0</v>
      </c>
      <c r="Z241" t="str">
        <f t="shared" si="6"/>
        <v/>
      </c>
    </row>
    <row r="242" spans="9:26" x14ac:dyDescent="0.25">
      <c r="I242">
        <v>232</v>
      </c>
      <c r="J242" t="s">
        <v>946</v>
      </c>
      <c r="K242">
        <v>6305</v>
      </c>
      <c r="L242">
        <v>5</v>
      </c>
      <c r="M242" t="s">
        <v>0</v>
      </c>
      <c r="N242" t="s">
        <v>947</v>
      </c>
      <c r="O242" t="s">
        <v>948</v>
      </c>
      <c r="P242" t="s">
        <v>949</v>
      </c>
      <c r="Q242">
        <v>1</v>
      </c>
      <c r="R242">
        <v>1</v>
      </c>
      <c r="S242">
        <v>0</v>
      </c>
      <c r="T242">
        <v>6325</v>
      </c>
      <c r="W242">
        <v>6305</v>
      </c>
      <c r="X242">
        <v>6305</v>
      </c>
      <c r="Y242" s="1">
        <f t="shared" si="7"/>
        <v>0</v>
      </c>
      <c r="Z242" t="str">
        <f t="shared" si="6"/>
        <v/>
      </c>
    </row>
    <row r="243" spans="9:26" x14ac:dyDescent="0.25">
      <c r="I243">
        <v>233</v>
      </c>
      <c r="J243" t="s">
        <v>950</v>
      </c>
      <c r="K243">
        <v>3031.5</v>
      </c>
      <c r="L243">
        <v>0.5</v>
      </c>
      <c r="M243" t="s">
        <v>0</v>
      </c>
      <c r="N243" t="s">
        <v>951</v>
      </c>
      <c r="O243" t="s">
        <v>952</v>
      </c>
      <c r="P243" t="s">
        <v>953</v>
      </c>
      <c r="Q243">
        <v>1</v>
      </c>
      <c r="R243">
        <v>0.01</v>
      </c>
      <c r="S243">
        <v>1</v>
      </c>
      <c r="T243">
        <v>3029</v>
      </c>
      <c r="W243">
        <v>3031.5</v>
      </c>
      <c r="X243">
        <v>3031.5</v>
      </c>
      <c r="Y243" s="1">
        <f t="shared" si="7"/>
        <v>0</v>
      </c>
      <c r="Z243" t="str">
        <f t="shared" si="6"/>
        <v/>
      </c>
    </row>
    <row r="244" spans="9:26" x14ac:dyDescent="0.25">
      <c r="I244">
        <v>234</v>
      </c>
      <c r="J244" t="s">
        <v>954</v>
      </c>
      <c r="K244">
        <v>0.60860000000000003</v>
      </c>
      <c r="L244">
        <v>2.0000000000000001E-4</v>
      </c>
      <c r="M244" t="s">
        <v>0</v>
      </c>
      <c r="N244" t="s">
        <v>133</v>
      </c>
      <c r="O244" t="s">
        <v>134</v>
      </c>
      <c r="P244" t="s">
        <v>135</v>
      </c>
      <c r="Q244">
        <v>1000</v>
      </c>
      <c r="R244">
        <v>1</v>
      </c>
      <c r="S244">
        <v>4</v>
      </c>
      <c r="T244">
        <v>0.61399999999999999</v>
      </c>
      <c r="W244">
        <v>0.60860000000000003</v>
      </c>
      <c r="X244">
        <v>0.60860000000000003</v>
      </c>
      <c r="Y244" s="1">
        <f t="shared" si="7"/>
        <v>0</v>
      </c>
      <c r="Z244" t="str">
        <f t="shared" si="6"/>
        <v/>
      </c>
    </row>
    <row r="245" spans="9:26" x14ac:dyDescent="0.25">
      <c r="I245">
        <v>235</v>
      </c>
      <c r="J245" t="s">
        <v>955</v>
      </c>
      <c r="K245">
        <v>465.5</v>
      </c>
      <c r="L245">
        <v>0.5</v>
      </c>
      <c r="M245" t="s">
        <v>136</v>
      </c>
      <c r="N245" t="s">
        <v>137</v>
      </c>
      <c r="O245" t="s">
        <v>138</v>
      </c>
      <c r="P245" t="s">
        <v>139</v>
      </c>
      <c r="Q245">
        <v>1</v>
      </c>
      <c r="R245">
        <v>6.9999999999999994E-5</v>
      </c>
      <c r="S245">
        <v>1</v>
      </c>
      <c r="T245">
        <v>473</v>
      </c>
      <c r="W245">
        <v>465.5</v>
      </c>
      <c r="X245">
        <v>465.5</v>
      </c>
      <c r="Y245" s="1">
        <f t="shared" si="7"/>
        <v>0</v>
      </c>
      <c r="Z245" t="str">
        <f t="shared" si="6"/>
        <v/>
      </c>
    </row>
    <row r="246" spans="9:26" x14ac:dyDescent="0.25">
      <c r="I246">
        <v>236</v>
      </c>
      <c r="J246" t="s">
        <v>956</v>
      </c>
      <c r="K246">
        <v>428.5</v>
      </c>
      <c r="L246">
        <v>0.5</v>
      </c>
      <c r="M246" t="s">
        <v>0</v>
      </c>
      <c r="N246" t="s">
        <v>957</v>
      </c>
      <c r="O246" t="s">
        <v>958</v>
      </c>
      <c r="P246" t="s">
        <v>959</v>
      </c>
      <c r="Q246">
        <v>1</v>
      </c>
      <c r="R246">
        <v>1</v>
      </c>
      <c r="S246">
        <v>1</v>
      </c>
      <c r="T246">
        <v>437</v>
      </c>
      <c r="W246">
        <v>428.5</v>
      </c>
      <c r="X246">
        <v>428.5</v>
      </c>
      <c r="Y246" s="1">
        <f t="shared" si="7"/>
        <v>0</v>
      </c>
      <c r="Z246" t="str">
        <f t="shared" si="6"/>
        <v/>
      </c>
    </row>
    <row r="247" spans="9:26" x14ac:dyDescent="0.25">
      <c r="I247">
        <v>237</v>
      </c>
      <c r="J247" t="s">
        <v>960</v>
      </c>
      <c r="K247">
        <v>15210</v>
      </c>
      <c r="L247">
        <v>10</v>
      </c>
      <c r="M247" t="s">
        <v>0</v>
      </c>
      <c r="N247" t="s">
        <v>961</v>
      </c>
      <c r="O247" t="s">
        <v>962</v>
      </c>
      <c r="P247" t="s">
        <v>963</v>
      </c>
      <c r="Q247">
        <v>1</v>
      </c>
      <c r="R247">
        <v>1000</v>
      </c>
      <c r="S247">
        <v>0</v>
      </c>
      <c r="T247">
        <v>15350</v>
      </c>
      <c r="W247">
        <v>15210</v>
      </c>
      <c r="X247">
        <v>15210</v>
      </c>
      <c r="Y247" s="1">
        <f t="shared" si="7"/>
        <v>0</v>
      </c>
      <c r="Z247" t="str">
        <f t="shared" si="6"/>
        <v/>
      </c>
    </row>
    <row r="248" spans="9:26" x14ac:dyDescent="0.25">
      <c r="I248">
        <v>238</v>
      </c>
      <c r="J248" t="s">
        <v>964</v>
      </c>
      <c r="K248">
        <v>520.20000000000005</v>
      </c>
      <c r="L248">
        <v>0.2</v>
      </c>
      <c r="M248" t="s">
        <v>0</v>
      </c>
      <c r="N248" t="s">
        <v>965</v>
      </c>
      <c r="O248" t="s">
        <v>966</v>
      </c>
      <c r="P248" t="s">
        <v>967</v>
      </c>
      <c r="Q248">
        <v>10</v>
      </c>
      <c r="R248">
        <v>0.67</v>
      </c>
      <c r="S248">
        <v>1</v>
      </c>
      <c r="T248">
        <v>520.6</v>
      </c>
      <c r="W248">
        <v>520.20000000000005</v>
      </c>
      <c r="X248">
        <v>520.20000000000005</v>
      </c>
      <c r="Y248" s="1">
        <f t="shared" si="7"/>
        <v>0</v>
      </c>
      <c r="Z248" t="str">
        <f t="shared" si="6"/>
        <v/>
      </c>
    </row>
    <row r="249" spans="9:26" x14ac:dyDescent="0.25">
      <c r="I249">
        <v>239</v>
      </c>
      <c r="J249" t="s">
        <v>968</v>
      </c>
      <c r="K249">
        <v>8.5</v>
      </c>
      <c r="L249">
        <v>0.01</v>
      </c>
      <c r="M249" t="s">
        <v>0</v>
      </c>
      <c r="N249" t="s">
        <v>969</v>
      </c>
      <c r="O249" t="s">
        <v>970</v>
      </c>
      <c r="P249" t="s">
        <v>971</v>
      </c>
      <c r="Q249">
        <v>100</v>
      </c>
      <c r="R249">
        <v>1</v>
      </c>
      <c r="S249">
        <v>2</v>
      </c>
      <c r="T249">
        <v>8.5</v>
      </c>
      <c r="W249">
        <v>8.5</v>
      </c>
      <c r="X249">
        <v>8.5</v>
      </c>
      <c r="Y249" s="1">
        <f t="shared" si="7"/>
        <v>0</v>
      </c>
      <c r="Z249" t="str">
        <f t="shared" si="6"/>
        <v/>
      </c>
    </row>
    <row r="250" spans="9:26" x14ac:dyDescent="0.25">
      <c r="I250">
        <v>240</v>
      </c>
      <c r="J250" t="s">
        <v>972</v>
      </c>
      <c r="K250">
        <v>10710</v>
      </c>
      <c r="L250">
        <v>10</v>
      </c>
      <c r="M250" t="s">
        <v>0</v>
      </c>
      <c r="N250" t="s">
        <v>973</v>
      </c>
      <c r="O250" t="s">
        <v>974</v>
      </c>
      <c r="P250" t="s">
        <v>975</v>
      </c>
      <c r="Q250">
        <v>1</v>
      </c>
      <c r="R250">
        <v>1</v>
      </c>
      <c r="S250">
        <v>0</v>
      </c>
      <c r="T250">
        <v>10670</v>
      </c>
      <c r="W250">
        <v>10710</v>
      </c>
      <c r="X250">
        <v>10710</v>
      </c>
      <c r="Y250" s="1">
        <f t="shared" si="7"/>
        <v>0</v>
      </c>
      <c r="Z250" t="str">
        <f t="shared" si="6"/>
        <v/>
      </c>
    </row>
    <row r="251" spans="9:26" x14ac:dyDescent="0.25">
      <c r="I251">
        <v>241</v>
      </c>
      <c r="J251" t="s">
        <v>976</v>
      </c>
      <c r="K251">
        <v>1560</v>
      </c>
      <c r="L251">
        <v>2</v>
      </c>
      <c r="M251" t="s">
        <v>0</v>
      </c>
      <c r="N251" t="s">
        <v>977</v>
      </c>
      <c r="O251" t="s">
        <v>978</v>
      </c>
      <c r="P251" t="s">
        <v>979</v>
      </c>
      <c r="Q251">
        <v>1</v>
      </c>
      <c r="R251">
        <v>0.04</v>
      </c>
      <c r="S251">
        <v>0</v>
      </c>
      <c r="T251">
        <v>1552</v>
      </c>
      <c r="W251">
        <v>1560</v>
      </c>
      <c r="X251">
        <v>1560</v>
      </c>
      <c r="Y251" s="1">
        <f t="shared" si="7"/>
        <v>0</v>
      </c>
      <c r="Z251" t="str">
        <f t="shared" si="6"/>
        <v/>
      </c>
    </row>
    <row r="252" spans="9:26" x14ac:dyDescent="0.25">
      <c r="I252">
        <v>242</v>
      </c>
      <c r="J252" t="s">
        <v>980</v>
      </c>
      <c r="K252">
        <v>1.891</v>
      </c>
      <c r="L252">
        <v>1E-3</v>
      </c>
      <c r="M252" t="s">
        <v>0</v>
      </c>
      <c r="N252" t="s">
        <v>140</v>
      </c>
      <c r="O252" t="s">
        <v>141</v>
      </c>
      <c r="P252" t="s">
        <v>142</v>
      </c>
      <c r="Q252">
        <v>1000</v>
      </c>
      <c r="R252">
        <v>0.4</v>
      </c>
      <c r="S252">
        <v>3</v>
      </c>
      <c r="T252">
        <v>1.9019999999999999</v>
      </c>
      <c r="W252">
        <v>1.891</v>
      </c>
      <c r="X252">
        <v>1.891</v>
      </c>
      <c r="Y252" s="1">
        <f t="shared" si="7"/>
        <v>0</v>
      </c>
      <c r="Z252" t="str">
        <f t="shared" si="6"/>
        <v/>
      </c>
    </row>
    <row r="253" spans="9:26" x14ac:dyDescent="0.25">
      <c r="I253">
        <v>243</v>
      </c>
      <c r="J253" t="s">
        <v>981</v>
      </c>
      <c r="K253">
        <v>124.95</v>
      </c>
      <c r="L253">
        <v>0.05</v>
      </c>
      <c r="M253" t="s">
        <v>0</v>
      </c>
      <c r="N253" t="s">
        <v>982</v>
      </c>
      <c r="O253" t="s">
        <v>983</v>
      </c>
      <c r="P253" t="s">
        <v>984</v>
      </c>
      <c r="Q253">
        <v>10</v>
      </c>
      <c r="R253">
        <v>1</v>
      </c>
      <c r="S253">
        <v>2</v>
      </c>
      <c r="T253">
        <v>124.15</v>
      </c>
      <c r="W253">
        <v>124.95</v>
      </c>
      <c r="X253">
        <v>124.95</v>
      </c>
      <c r="Y253" s="1">
        <f t="shared" si="7"/>
        <v>0</v>
      </c>
      <c r="Z253" t="str">
        <f t="shared" si="6"/>
        <v/>
      </c>
    </row>
    <row r="254" spans="9:26" x14ac:dyDescent="0.25">
      <c r="I254">
        <v>244</v>
      </c>
      <c r="J254" t="s">
        <v>985</v>
      </c>
      <c r="K254">
        <v>0.32700000000000001</v>
      </c>
      <c r="L254">
        <v>5.0000000000000001E-4</v>
      </c>
      <c r="M254" t="s">
        <v>0</v>
      </c>
      <c r="N254" t="s">
        <v>986</v>
      </c>
      <c r="O254" t="s">
        <v>987</v>
      </c>
      <c r="P254" t="s">
        <v>988</v>
      </c>
      <c r="Q254">
        <v>10000</v>
      </c>
      <c r="R254">
        <v>2.2200000000000002</v>
      </c>
      <c r="S254">
        <v>4</v>
      </c>
      <c r="T254">
        <v>0.32750000000000001</v>
      </c>
      <c r="W254">
        <v>0.32700000000000001</v>
      </c>
      <c r="X254">
        <v>0.32700000000000001</v>
      </c>
      <c r="Y254" s="1">
        <f t="shared" si="7"/>
        <v>0</v>
      </c>
      <c r="Z254" t="str">
        <f t="shared" si="6"/>
        <v/>
      </c>
    </row>
    <row r="255" spans="9:26" x14ac:dyDescent="0.25">
      <c r="I255">
        <v>245</v>
      </c>
      <c r="J255" t="s">
        <v>989</v>
      </c>
      <c r="K255">
        <v>0.33450000000000002</v>
      </c>
      <c r="L255">
        <v>5.0000000000000001E-4</v>
      </c>
      <c r="M255" t="s">
        <v>0</v>
      </c>
      <c r="N255" t="s">
        <v>990</v>
      </c>
      <c r="O255" t="s">
        <v>991</v>
      </c>
      <c r="P255" t="s">
        <v>992</v>
      </c>
      <c r="Q255">
        <v>10000</v>
      </c>
      <c r="R255">
        <v>2.2200000000000002</v>
      </c>
      <c r="S255">
        <v>4</v>
      </c>
      <c r="T255">
        <v>0.32350000000000001</v>
      </c>
      <c r="W255">
        <v>0.33450000000000002</v>
      </c>
      <c r="X255">
        <v>0.33450000000000002</v>
      </c>
      <c r="Y255" s="1">
        <f t="shared" si="7"/>
        <v>0</v>
      </c>
      <c r="Z255" t="str">
        <f t="shared" si="6"/>
        <v/>
      </c>
    </row>
    <row r="256" spans="9:26" x14ac:dyDescent="0.25">
      <c r="I256">
        <v>246</v>
      </c>
      <c r="Y256" s="1">
        <f t="shared" si="7"/>
        <v>0</v>
      </c>
      <c r="Z256" t="str">
        <f t="shared" si="6"/>
        <v/>
      </c>
    </row>
    <row r="257" spans="9:26" x14ac:dyDescent="0.25">
      <c r="I257">
        <v>247</v>
      </c>
      <c r="Y257" s="1">
        <f t="shared" si="7"/>
        <v>0</v>
      </c>
      <c r="Z257" t="str">
        <f t="shared" si="6"/>
        <v/>
      </c>
    </row>
    <row r="258" spans="9:26" x14ac:dyDescent="0.25">
      <c r="I258">
        <v>248</v>
      </c>
      <c r="Y258" s="1">
        <f t="shared" si="7"/>
        <v>0</v>
      </c>
      <c r="Z258" t="str">
        <f t="shared" si="6"/>
        <v/>
      </c>
    </row>
    <row r="259" spans="9:26" x14ac:dyDescent="0.25">
      <c r="I259">
        <v>249</v>
      </c>
      <c r="Y259" s="1">
        <f t="shared" si="7"/>
        <v>0</v>
      </c>
      <c r="Z259" t="str">
        <f t="shared" si="6"/>
        <v/>
      </c>
    </row>
    <row r="260" spans="9:26" x14ac:dyDescent="0.25">
      <c r="I260">
        <v>250</v>
      </c>
      <c r="Y260" s="1">
        <f t="shared" si="7"/>
        <v>0</v>
      </c>
      <c r="Z260" t="str">
        <f t="shared" ref="Z260:Z323" si="8">IF($Y$8&gt;0.0009,IF($Y$8=Y260,I260,""),"")</f>
        <v/>
      </c>
    </row>
    <row r="261" spans="9:26" x14ac:dyDescent="0.25">
      <c r="I261">
        <v>251</v>
      </c>
      <c r="Y261" s="1">
        <f t="shared" si="7"/>
        <v>0</v>
      </c>
      <c r="Z261" t="str">
        <f t="shared" si="8"/>
        <v/>
      </c>
    </row>
    <row r="262" spans="9:26" x14ac:dyDescent="0.25">
      <c r="I262">
        <v>252</v>
      </c>
      <c r="Y262" s="1">
        <f t="shared" si="7"/>
        <v>0</v>
      </c>
      <c r="Z262" t="str">
        <f t="shared" si="8"/>
        <v/>
      </c>
    </row>
    <row r="263" spans="9:26" x14ac:dyDescent="0.25">
      <c r="I263">
        <v>253</v>
      </c>
      <c r="Y263" s="1">
        <f t="shared" si="7"/>
        <v>0</v>
      </c>
      <c r="Z263" t="str">
        <f t="shared" si="8"/>
        <v/>
      </c>
    </row>
    <row r="264" spans="9:26" x14ac:dyDescent="0.25">
      <c r="I264">
        <v>254</v>
      </c>
      <c r="Y264" s="1">
        <f t="shared" si="7"/>
        <v>0</v>
      </c>
      <c r="Z264" t="str">
        <f t="shared" si="8"/>
        <v/>
      </c>
    </row>
    <row r="265" spans="9:26" x14ac:dyDescent="0.25">
      <c r="I265">
        <v>255</v>
      </c>
      <c r="Y265" s="1">
        <f t="shared" si="7"/>
        <v>0</v>
      </c>
      <c r="Z265" t="str">
        <f t="shared" si="8"/>
        <v/>
      </c>
    </row>
    <row r="266" spans="9:26" x14ac:dyDescent="0.25">
      <c r="I266">
        <v>256</v>
      </c>
      <c r="Y266" s="1">
        <f t="shared" si="7"/>
        <v>0</v>
      </c>
      <c r="Z266" t="str">
        <f t="shared" si="8"/>
        <v/>
      </c>
    </row>
    <row r="267" spans="9:26" x14ac:dyDescent="0.25">
      <c r="I267">
        <v>257</v>
      </c>
      <c r="Y267" s="1">
        <f t="shared" si="7"/>
        <v>0</v>
      </c>
      <c r="Z267" t="str">
        <f t="shared" si="8"/>
        <v/>
      </c>
    </row>
    <row r="268" spans="9:26" x14ac:dyDescent="0.25">
      <c r="I268">
        <v>258</v>
      </c>
      <c r="W268">
        <v>492</v>
      </c>
      <c r="X268">
        <v>492</v>
      </c>
      <c r="Y268" s="1">
        <f t="shared" ref="Y268:Y323" si="9">IFERROR(ABS((W268-X268)/X268),0)</f>
        <v>0</v>
      </c>
      <c r="Z268" t="str">
        <f t="shared" si="8"/>
        <v/>
      </c>
    </row>
    <row r="269" spans="9:26" x14ac:dyDescent="0.25">
      <c r="I269">
        <v>259</v>
      </c>
      <c r="W269">
        <v>492</v>
      </c>
      <c r="X269">
        <v>492</v>
      </c>
      <c r="Y269" s="1">
        <f t="shared" si="9"/>
        <v>0</v>
      </c>
      <c r="Z269" t="str">
        <f t="shared" si="8"/>
        <v/>
      </c>
    </row>
    <row r="270" spans="9:26" x14ac:dyDescent="0.25">
      <c r="I270">
        <v>260</v>
      </c>
      <c r="W270">
        <v>492</v>
      </c>
      <c r="X270">
        <v>492</v>
      </c>
      <c r="Y270" s="1">
        <f t="shared" si="9"/>
        <v>0</v>
      </c>
      <c r="Z270" t="str">
        <f t="shared" si="8"/>
        <v/>
      </c>
    </row>
    <row r="271" spans="9:26" x14ac:dyDescent="0.25">
      <c r="I271">
        <v>261</v>
      </c>
      <c r="W271">
        <v>492</v>
      </c>
      <c r="X271">
        <v>492</v>
      </c>
      <c r="Y271" s="1">
        <f t="shared" si="9"/>
        <v>0</v>
      </c>
      <c r="Z271" t="str">
        <f t="shared" si="8"/>
        <v/>
      </c>
    </row>
    <row r="272" spans="9:26" x14ac:dyDescent="0.25">
      <c r="I272">
        <v>262</v>
      </c>
      <c r="W272">
        <v>492</v>
      </c>
      <c r="X272">
        <v>492</v>
      </c>
      <c r="Y272" s="1">
        <f t="shared" si="9"/>
        <v>0</v>
      </c>
      <c r="Z272" t="str">
        <f t="shared" si="8"/>
        <v/>
      </c>
    </row>
    <row r="273" spans="9:26" x14ac:dyDescent="0.25">
      <c r="I273">
        <v>263</v>
      </c>
      <c r="W273">
        <v>492</v>
      </c>
      <c r="X273">
        <v>492</v>
      </c>
      <c r="Y273" s="1">
        <f t="shared" si="9"/>
        <v>0</v>
      </c>
      <c r="Z273" t="str">
        <f t="shared" si="8"/>
        <v/>
      </c>
    </row>
    <row r="274" spans="9:26" x14ac:dyDescent="0.25">
      <c r="I274">
        <v>264</v>
      </c>
      <c r="W274">
        <v>492</v>
      </c>
      <c r="X274">
        <v>492</v>
      </c>
      <c r="Y274" s="1">
        <f t="shared" si="9"/>
        <v>0</v>
      </c>
      <c r="Z274" t="str">
        <f t="shared" si="8"/>
        <v/>
      </c>
    </row>
    <row r="275" spans="9:26" x14ac:dyDescent="0.25">
      <c r="I275">
        <v>265</v>
      </c>
      <c r="W275">
        <v>492</v>
      </c>
      <c r="X275">
        <v>492</v>
      </c>
      <c r="Y275" s="1">
        <f t="shared" si="9"/>
        <v>0</v>
      </c>
      <c r="Z275" t="str">
        <f t="shared" si="8"/>
        <v/>
      </c>
    </row>
    <row r="276" spans="9:26" x14ac:dyDescent="0.25">
      <c r="I276">
        <v>266</v>
      </c>
      <c r="W276">
        <v>492</v>
      </c>
      <c r="X276">
        <v>492</v>
      </c>
      <c r="Y276" s="1">
        <f t="shared" si="9"/>
        <v>0</v>
      </c>
      <c r="Z276" t="str">
        <f t="shared" si="8"/>
        <v/>
      </c>
    </row>
    <row r="277" spans="9:26" x14ac:dyDescent="0.25">
      <c r="I277">
        <v>267</v>
      </c>
      <c r="W277">
        <v>492</v>
      </c>
      <c r="X277">
        <v>492</v>
      </c>
      <c r="Y277" s="1">
        <f t="shared" si="9"/>
        <v>0</v>
      </c>
      <c r="Z277" t="str">
        <f t="shared" si="8"/>
        <v/>
      </c>
    </row>
    <row r="278" spans="9:26" x14ac:dyDescent="0.25">
      <c r="I278">
        <v>268</v>
      </c>
      <c r="W278">
        <v>492</v>
      </c>
      <c r="X278">
        <v>492</v>
      </c>
      <c r="Y278" s="1">
        <f t="shared" si="9"/>
        <v>0</v>
      </c>
      <c r="Z278" t="str">
        <f t="shared" si="8"/>
        <v/>
      </c>
    </row>
    <row r="279" spans="9:26" x14ac:dyDescent="0.25">
      <c r="I279">
        <v>269</v>
      </c>
      <c r="W279">
        <v>492</v>
      </c>
      <c r="X279">
        <v>492</v>
      </c>
      <c r="Y279" s="1">
        <f t="shared" si="9"/>
        <v>0</v>
      </c>
      <c r="Z279" t="str">
        <f t="shared" si="8"/>
        <v/>
      </c>
    </row>
    <row r="280" spans="9:26" x14ac:dyDescent="0.25">
      <c r="I280">
        <v>270</v>
      </c>
      <c r="W280">
        <v>492</v>
      </c>
      <c r="X280">
        <v>492</v>
      </c>
      <c r="Y280" s="1">
        <f t="shared" si="9"/>
        <v>0</v>
      </c>
      <c r="Z280" t="str">
        <f t="shared" si="8"/>
        <v/>
      </c>
    </row>
    <row r="281" spans="9:26" x14ac:dyDescent="0.25">
      <c r="I281">
        <v>271</v>
      </c>
      <c r="W281">
        <v>492</v>
      </c>
      <c r="X281">
        <v>492</v>
      </c>
      <c r="Y281" s="1">
        <f t="shared" si="9"/>
        <v>0</v>
      </c>
      <c r="Z281" t="str">
        <f t="shared" si="8"/>
        <v/>
      </c>
    </row>
    <row r="282" spans="9:26" x14ac:dyDescent="0.25">
      <c r="I282">
        <v>272</v>
      </c>
      <c r="W282">
        <v>492</v>
      </c>
      <c r="X282">
        <v>492</v>
      </c>
      <c r="Y282" s="1">
        <f t="shared" si="9"/>
        <v>0</v>
      </c>
      <c r="Z282" t="str">
        <f t="shared" si="8"/>
        <v/>
      </c>
    </row>
    <row r="283" spans="9:26" x14ac:dyDescent="0.25">
      <c r="I283">
        <v>273</v>
      </c>
      <c r="W283">
        <v>492</v>
      </c>
      <c r="X283">
        <v>492</v>
      </c>
      <c r="Y283" s="1">
        <f t="shared" si="9"/>
        <v>0</v>
      </c>
      <c r="Z283" t="str">
        <f t="shared" si="8"/>
        <v/>
      </c>
    </row>
    <row r="284" spans="9:26" x14ac:dyDescent="0.25">
      <c r="I284">
        <v>274</v>
      </c>
      <c r="W284">
        <v>492</v>
      </c>
      <c r="X284">
        <v>492</v>
      </c>
      <c r="Y284" s="1">
        <f t="shared" si="9"/>
        <v>0</v>
      </c>
      <c r="Z284" t="str">
        <f t="shared" si="8"/>
        <v/>
      </c>
    </row>
    <row r="285" spans="9:26" x14ac:dyDescent="0.25">
      <c r="I285">
        <v>275</v>
      </c>
      <c r="W285">
        <v>492</v>
      </c>
      <c r="X285">
        <v>492</v>
      </c>
      <c r="Y285" s="1">
        <f t="shared" si="9"/>
        <v>0</v>
      </c>
      <c r="Z285" t="str">
        <f t="shared" si="8"/>
        <v/>
      </c>
    </row>
    <row r="286" spans="9:26" x14ac:dyDescent="0.25">
      <c r="I286">
        <v>276</v>
      </c>
      <c r="W286">
        <v>492</v>
      </c>
      <c r="X286">
        <v>492</v>
      </c>
      <c r="Y286" s="1">
        <f t="shared" si="9"/>
        <v>0</v>
      </c>
      <c r="Z286" t="str">
        <f t="shared" si="8"/>
        <v/>
      </c>
    </row>
    <row r="287" spans="9:26" x14ac:dyDescent="0.25">
      <c r="I287">
        <v>277</v>
      </c>
      <c r="W287">
        <v>492</v>
      </c>
      <c r="X287">
        <v>492</v>
      </c>
      <c r="Y287" s="1">
        <f t="shared" si="9"/>
        <v>0</v>
      </c>
      <c r="Z287" t="str">
        <f t="shared" si="8"/>
        <v/>
      </c>
    </row>
    <row r="288" spans="9:26" x14ac:dyDescent="0.25">
      <c r="I288">
        <v>278</v>
      </c>
      <c r="W288">
        <v>492</v>
      </c>
      <c r="X288">
        <v>492</v>
      </c>
      <c r="Y288" s="1">
        <f t="shared" si="9"/>
        <v>0</v>
      </c>
      <c r="Z288" t="str">
        <f t="shared" si="8"/>
        <v/>
      </c>
    </row>
    <row r="289" spans="9:26" x14ac:dyDescent="0.25">
      <c r="I289">
        <v>279</v>
      </c>
      <c r="W289">
        <v>492</v>
      </c>
      <c r="X289">
        <v>492</v>
      </c>
      <c r="Y289" s="1">
        <f t="shared" si="9"/>
        <v>0</v>
      </c>
      <c r="Z289" t="str">
        <f t="shared" si="8"/>
        <v/>
      </c>
    </row>
    <row r="290" spans="9:26" x14ac:dyDescent="0.25">
      <c r="I290">
        <v>280</v>
      </c>
      <c r="W290">
        <v>492</v>
      </c>
      <c r="X290">
        <v>492</v>
      </c>
      <c r="Y290" s="1">
        <f t="shared" si="9"/>
        <v>0</v>
      </c>
      <c r="Z290" t="str">
        <f t="shared" si="8"/>
        <v/>
      </c>
    </row>
    <row r="291" spans="9:26" x14ac:dyDescent="0.25">
      <c r="I291">
        <v>281</v>
      </c>
      <c r="W291">
        <v>492</v>
      </c>
      <c r="X291">
        <v>492</v>
      </c>
      <c r="Y291" s="1">
        <f t="shared" si="9"/>
        <v>0</v>
      </c>
      <c r="Z291" t="str">
        <f t="shared" si="8"/>
        <v/>
      </c>
    </row>
    <row r="292" spans="9:26" x14ac:dyDescent="0.25">
      <c r="I292">
        <v>282</v>
      </c>
      <c r="W292">
        <v>492</v>
      </c>
      <c r="X292">
        <v>492</v>
      </c>
      <c r="Y292" s="1">
        <f t="shared" si="9"/>
        <v>0</v>
      </c>
      <c r="Z292" t="str">
        <f t="shared" si="8"/>
        <v/>
      </c>
    </row>
    <row r="293" spans="9:26" x14ac:dyDescent="0.25">
      <c r="I293">
        <v>283</v>
      </c>
      <c r="W293">
        <v>492</v>
      </c>
      <c r="X293">
        <v>492</v>
      </c>
      <c r="Y293" s="1">
        <f t="shared" si="9"/>
        <v>0</v>
      </c>
      <c r="Z293" t="str">
        <f t="shared" si="8"/>
        <v/>
      </c>
    </row>
    <row r="294" spans="9:26" x14ac:dyDescent="0.25">
      <c r="I294">
        <v>284</v>
      </c>
      <c r="W294">
        <v>492</v>
      </c>
      <c r="X294">
        <v>492</v>
      </c>
      <c r="Y294" s="1">
        <f t="shared" si="9"/>
        <v>0</v>
      </c>
      <c r="Z294" t="str">
        <f t="shared" si="8"/>
        <v/>
      </c>
    </row>
    <row r="295" spans="9:26" x14ac:dyDescent="0.25">
      <c r="I295">
        <v>285</v>
      </c>
      <c r="W295">
        <v>492</v>
      </c>
      <c r="X295">
        <v>492</v>
      </c>
      <c r="Y295" s="1">
        <f t="shared" si="9"/>
        <v>0</v>
      </c>
      <c r="Z295" t="str">
        <f t="shared" si="8"/>
        <v/>
      </c>
    </row>
    <row r="296" spans="9:26" x14ac:dyDescent="0.25">
      <c r="I296">
        <v>286</v>
      </c>
      <c r="W296">
        <v>492</v>
      </c>
      <c r="X296">
        <v>492</v>
      </c>
      <c r="Y296" s="1">
        <f t="shared" si="9"/>
        <v>0</v>
      </c>
      <c r="Z296" t="str">
        <f t="shared" si="8"/>
        <v/>
      </c>
    </row>
    <row r="297" spans="9:26" x14ac:dyDescent="0.25">
      <c r="I297">
        <v>287</v>
      </c>
      <c r="W297">
        <v>492</v>
      </c>
      <c r="X297">
        <v>492</v>
      </c>
      <c r="Y297" s="1">
        <f t="shared" si="9"/>
        <v>0</v>
      </c>
      <c r="Z297" t="str">
        <f t="shared" si="8"/>
        <v/>
      </c>
    </row>
    <row r="298" spans="9:26" x14ac:dyDescent="0.25">
      <c r="I298">
        <v>288</v>
      </c>
      <c r="W298">
        <v>492</v>
      </c>
      <c r="X298">
        <v>492</v>
      </c>
      <c r="Y298" s="1">
        <f t="shared" si="9"/>
        <v>0</v>
      </c>
      <c r="Z298" t="str">
        <f t="shared" si="8"/>
        <v/>
      </c>
    </row>
    <row r="299" spans="9:26" x14ac:dyDescent="0.25">
      <c r="I299">
        <v>289</v>
      </c>
      <c r="W299">
        <v>492</v>
      </c>
      <c r="X299">
        <v>492</v>
      </c>
      <c r="Y299" s="1">
        <f t="shared" si="9"/>
        <v>0</v>
      </c>
      <c r="Z299" t="str">
        <f t="shared" si="8"/>
        <v/>
      </c>
    </row>
    <row r="300" spans="9:26" x14ac:dyDescent="0.25">
      <c r="I300">
        <v>290</v>
      </c>
      <c r="W300">
        <v>492</v>
      </c>
      <c r="X300">
        <v>492</v>
      </c>
      <c r="Y300" s="1">
        <f t="shared" si="9"/>
        <v>0</v>
      </c>
      <c r="Z300" t="str">
        <f t="shared" si="8"/>
        <v/>
      </c>
    </row>
    <row r="301" spans="9:26" x14ac:dyDescent="0.25">
      <c r="I301">
        <v>291</v>
      </c>
      <c r="W301">
        <v>492</v>
      </c>
      <c r="X301">
        <v>492</v>
      </c>
      <c r="Y301" s="1">
        <f t="shared" si="9"/>
        <v>0</v>
      </c>
      <c r="Z301" t="str">
        <f t="shared" si="8"/>
        <v/>
      </c>
    </row>
    <row r="302" spans="9:26" x14ac:dyDescent="0.25">
      <c r="I302">
        <v>292</v>
      </c>
      <c r="W302">
        <v>492</v>
      </c>
      <c r="X302">
        <v>492</v>
      </c>
      <c r="Y302" s="1">
        <f t="shared" si="9"/>
        <v>0</v>
      </c>
      <c r="Z302" t="str">
        <f t="shared" si="8"/>
        <v/>
      </c>
    </row>
    <row r="303" spans="9:26" x14ac:dyDescent="0.25">
      <c r="I303">
        <v>293</v>
      </c>
      <c r="W303">
        <v>492</v>
      </c>
      <c r="X303">
        <v>492</v>
      </c>
      <c r="Y303" s="1">
        <f t="shared" si="9"/>
        <v>0</v>
      </c>
      <c r="Z303" t="str">
        <f t="shared" si="8"/>
        <v/>
      </c>
    </row>
    <row r="304" spans="9:26" x14ac:dyDescent="0.25">
      <c r="I304">
        <v>294</v>
      </c>
      <c r="W304">
        <v>492</v>
      </c>
      <c r="X304">
        <v>492</v>
      </c>
      <c r="Y304" s="1">
        <f t="shared" si="9"/>
        <v>0</v>
      </c>
      <c r="Z304" t="str">
        <f t="shared" si="8"/>
        <v/>
      </c>
    </row>
    <row r="305" spans="9:26" x14ac:dyDescent="0.25">
      <c r="I305">
        <v>295</v>
      </c>
      <c r="W305">
        <v>492</v>
      </c>
      <c r="X305">
        <v>492</v>
      </c>
      <c r="Y305" s="1">
        <f t="shared" si="9"/>
        <v>0</v>
      </c>
      <c r="Z305" t="str">
        <f t="shared" si="8"/>
        <v/>
      </c>
    </row>
    <row r="306" spans="9:26" x14ac:dyDescent="0.25">
      <c r="I306">
        <v>296</v>
      </c>
      <c r="W306">
        <v>492</v>
      </c>
      <c r="X306">
        <v>492</v>
      </c>
      <c r="Y306" s="1">
        <f t="shared" si="9"/>
        <v>0</v>
      </c>
      <c r="Z306" t="str">
        <f t="shared" si="8"/>
        <v/>
      </c>
    </row>
    <row r="307" spans="9:26" x14ac:dyDescent="0.25">
      <c r="I307">
        <v>297</v>
      </c>
      <c r="W307">
        <v>492</v>
      </c>
      <c r="X307">
        <v>492</v>
      </c>
      <c r="Y307" s="1">
        <f t="shared" si="9"/>
        <v>0</v>
      </c>
      <c r="Z307" t="str">
        <f t="shared" si="8"/>
        <v/>
      </c>
    </row>
    <row r="308" spans="9:26" x14ac:dyDescent="0.25">
      <c r="I308">
        <v>298</v>
      </c>
      <c r="W308">
        <v>492</v>
      </c>
      <c r="X308">
        <v>492</v>
      </c>
      <c r="Y308" s="1">
        <f t="shared" si="9"/>
        <v>0</v>
      </c>
      <c r="Z308" t="str">
        <f t="shared" si="8"/>
        <v/>
      </c>
    </row>
    <row r="309" spans="9:26" x14ac:dyDescent="0.25">
      <c r="I309">
        <v>299</v>
      </c>
      <c r="W309">
        <v>492</v>
      </c>
      <c r="X309">
        <v>492</v>
      </c>
      <c r="Y309" s="1">
        <f t="shared" si="9"/>
        <v>0</v>
      </c>
      <c r="Z309" t="str">
        <f t="shared" si="8"/>
        <v/>
      </c>
    </row>
    <row r="310" spans="9:26" x14ac:dyDescent="0.25">
      <c r="I310">
        <v>300</v>
      </c>
      <c r="W310">
        <v>492</v>
      </c>
      <c r="X310">
        <v>492</v>
      </c>
      <c r="Y310" s="1">
        <f t="shared" si="9"/>
        <v>0</v>
      </c>
      <c r="Z310" t="str">
        <f t="shared" si="8"/>
        <v/>
      </c>
    </row>
    <row r="311" spans="9:26" x14ac:dyDescent="0.25">
      <c r="I311">
        <v>301</v>
      </c>
      <c r="W311">
        <v>492</v>
      </c>
      <c r="X311">
        <v>492</v>
      </c>
      <c r="Y311" s="1">
        <f t="shared" si="9"/>
        <v>0</v>
      </c>
      <c r="Z311" t="str">
        <f t="shared" si="8"/>
        <v/>
      </c>
    </row>
    <row r="312" spans="9:26" x14ac:dyDescent="0.25">
      <c r="I312">
        <v>302</v>
      </c>
      <c r="W312">
        <v>492</v>
      </c>
      <c r="X312">
        <v>492</v>
      </c>
      <c r="Y312" s="1">
        <f t="shared" si="9"/>
        <v>0</v>
      </c>
      <c r="Z312" t="str">
        <f t="shared" si="8"/>
        <v/>
      </c>
    </row>
    <row r="313" spans="9:26" x14ac:dyDescent="0.25">
      <c r="I313">
        <v>303</v>
      </c>
      <c r="W313">
        <v>492</v>
      </c>
      <c r="X313">
        <v>492</v>
      </c>
      <c r="Y313" s="1">
        <f t="shared" si="9"/>
        <v>0</v>
      </c>
      <c r="Z313" t="str">
        <f t="shared" si="8"/>
        <v/>
      </c>
    </row>
    <row r="314" spans="9:26" x14ac:dyDescent="0.25">
      <c r="I314">
        <v>304</v>
      </c>
      <c r="W314">
        <v>492</v>
      </c>
      <c r="X314">
        <v>492</v>
      </c>
      <c r="Y314" s="1">
        <f t="shared" si="9"/>
        <v>0</v>
      </c>
      <c r="Z314" t="str">
        <f t="shared" si="8"/>
        <v/>
      </c>
    </row>
    <row r="315" spans="9:26" x14ac:dyDescent="0.25">
      <c r="I315">
        <v>305</v>
      </c>
      <c r="W315">
        <v>492</v>
      </c>
      <c r="X315">
        <v>492</v>
      </c>
      <c r="Y315" s="1">
        <f t="shared" si="9"/>
        <v>0</v>
      </c>
      <c r="Z315" t="str">
        <f t="shared" si="8"/>
        <v/>
      </c>
    </row>
    <row r="316" spans="9:26" x14ac:dyDescent="0.25">
      <c r="I316">
        <v>306</v>
      </c>
      <c r="W316">
        <v>492</v>
      </c>
      <c r="X316">
        <v>492</v>
      </c>
      <c r="Y316" s="1">
        <f t="shared" si="9"/>
        <v>0</v>
      </c>
      <c r="Z316" t="str">
        <f t="shared" si="8"/>
        <v/>
      </c>
    </row>
    <row r="317" spans="9:26" x14ac:dyDescent="0.25">
      <c r="I317">
        <v>307</v>
      </c>
      <c r="W317">
        <v>492</v>
      </c>
      <c r="X317">
        <v>492</v>
      </c>
      <c r="Y317" s="1">
        <f t="shared" si="9"/>
        <v>0</v>
      </c>
      <c r="Z317" t="str">
        <f t="shared" si="8"/>
        <v/>
      </c>
    </row>
    <row r="318" spans="9:26" x14ac:dyDescent="0.25">
      <c r="I318">
        <v>308</v>
      </c>
      <c r="W318">
        <v>492</v>
      </c>
      <c r="X318">
        <v>492</v>
      </c>
      <c r="Y318" s="1">
        <f t="shared" si="9"/>
        <v>0</v>
      </c>
      <c r="Z318" t="str">
        <f t="shared" si="8"/>
        <v/>
      </c>
    </row>
    <row r="319" spans="9:26" x14ac:dyDescent="0.25">
      <c r="I319">
        <v>309</v>
      </c>
      <c r="W319">
        <v>492</v>
      </c>
      <c r="X319">
        <v>492</v>
      </c>
      <c r="Y319" s="1">
        <f t="shared" si="9"/>
        <v>0</v>
      </c>
      <c r="Z319" t="str">
        <f t="shared" si="8"/>
        <v/>
      </c>
    </row>
    <row r="320" spans="9:26" x14ac:dyDescent="0.25">
      <c r="I320">
        <v>310</v>
      </c>
      <c r="W320">
        <v>492</v>
      </c>
      <c r="X320">
        <v>492</v>
      </c>
      <c r="Y320" s="1">
        <f t="shared" si="9"/>
        <v>0</v>
      </c>
      <c r="Z320" t="str">
        <f t="shared" si="8"/>
        <v/>
      </c>
    </row>
    <row r="321" spans="9:26" x14ac:dyDescent="0.25">
      <c r="I321">
        <v>311</v>
      </c>
      <c r="W321">
        <v>492</v>
      </c>
      <c r="X321">
        <v>492</v>
      </c>
      <c r="Y321" s="1">
        <f t="shared" si="9"/>
        <v>0</v>
      </c>
      <c r="Z321" t="str">
        <f t="shared" si="8"/>
        <v/>
      </c>
    </row>
    <row r="322" spans="9:26" x14ac:dyDescent="0.25">
      <c r="I322">
        <v>312</v>
      </c>
      <c r="W322">
        <v>492</v>
      </c>
      <c r="X322">
        <v>492</v>
      </c>
      <c r="Y322" s="1">
        <f t="shared" si="9"/>
        <v>0</v>
      </c>
      <c r="Z322" t="str">
        <f t="shared" si="8"/>
        <v/>
      </c>
    </row>
    <row r="323" spans="9:26" x14ac:dyDescent="0.25">
      <c r="I323">
        <v>313</v>
      </c>
      <c r="W323">
        <v>492</v>
      </c>
      <c r="X323">
        <v>492</v>
      </c>
      <c r="Y323" s="1">
        <f t="shared" si="9"/>
        <v>0</v>
      </c>
      <c r="Z323" t="str">
        <f t="shared" si="8"/>
        <v/>
      </c>
    </row>
    <row r="324" spans="9:26" x14ac:dyDescent="0.25">
      <c r="I324">
        <v>314</v>
      </c>
      <c r="W324">
        <v>492</v>
      </c>
      <c r="X324">
        <v>492</v>
      </c>
      <c r="Y324" s="1">
        <f t="shared" ref="Y324:Y352" si="10">IFERROR(ABS((W324-X324)/X324),0)</f>
        <v>0</v>
      </c>
      <c r="Z324" t="str">
        <f t="shared" ref="Z324:Z352" si="11">IF($Y$8&gt;0.0009,IF($Y$8=Y324,I324,""),"")</f>
        <v/>
      </c>
    </row>
    <row r="325" spans="9:26" x14ac:dyDescent="0.25">
      <c r="I325">
        <v>315</v>
      </c>
      <c r="W325">
        <v>492</v>
      </c>
      <c r="X325">
        <v>492</v>
      </c>
      <c r="Y325" s="1">
        <f t="shared" si="10"/>
        <v>0</v>
      </c>
      <c r="Z325" t="str">
        <f t="shared" si="11"/>
        <v/>
      </c>
    </row>
    <row r="326" spans="9:26" x14ac:dyDescent="0.25">
      <c r="I326">
        <v>316</v>
      </c>
      <c r="W326">
        <v>492</v>
      </c>
      <c r="X326">
        <v>492</v>
      </c>
      <c r="Y326" s="1">
        <f t="shared" si="10"/>
        <v>0</v>
      </c>
      <c r="Z326" t="str">
        <f t="shared" si="11"/>
        <v/>
      </c>
    </row>
    <row r="327" spans="9:26" x14ac:dyDescent="0.25">
      <c r="I327">
        <v>317</v>
      </c>
      <c r="W327">
        <v>492</v>
      </c>
      <c r="X327">
        <v>492</v>
      </c>
      <c r="Y327" s="1">
        <f t="shared" si="10"/>
        <v>0</v>
      </c>
      <c r="Z327" t="str">
        <f t="shared" si="11"/>
        <v/>
      </c>
    </row>
    <row r="328" spans="9:26" x14ac:dyDescent="0.25">
      <c r="I328">
        <v>318</v>
      </c>
      <c r="W328">
        <v>492</v>
      </c>
      <c r="X328">
        <v>492</v>
      </c>
      <c r="Y328" s="1">
        <f t="shared" si="10"/>
        <v>0</v>
      </c>
      <c r="Z328" t="str">
        <f t="shared" si="11"/>
        <v/>
      </c>
    </row>
    <row r="329" spans="9:26" x14ac:dyDescent="0.25">
      <c r="I329">
        <v>319</v>
      </c>
      <c r="W329">
        <v>492</v>
      </c>
      <c r="X329">
        <v>492</v>
      </c>
      <c r="Y329" s="1">
        <f t="shared" si="10"/>
        <v>0</v>
      </c>
      <c r="Z329" t="str">
        <f t="shared" si="11"/>
        <v/>
      </c>
    </row>
    <row r="330" spans="9:26" x14ac:dyDescent="0.25">
      <c r="I330">
        <v>320</v>
      </c>
      <c r="W330">
        <v>492</v>
      </c>
      <c r="X330">
        <v>492</v>
      </c>
      <c r="Y330" s="1">
        <f t="shared" si="10"/>
        <v>0</v>
      </c>
      <c r="Z330" t="str">
        <f t="shared" si="11"/>
        <v/>
      </c>
    </row>
    <row r="331" spans="9:26" x14ac:dyDescent="0.25">
      <c r="I331">
        <v>321</v>
      </c>
      <c r="W331">
        <v>492</v>
      </c>
      <c r="X331">
        <v>492</v>
      </c>
      <c r="Y331" s="1">
        <f t="shared" si="10"/>
        <v>0</v>
      </c>
      <c r="Z331" t="str">
        <f t="shared" si="11"/>
        <v/>
      </c>
    </row>
    <row r="332" spans="9:26" x14ac:dyDescent="0.25">
      <c r="I332">
        <v>322</v>
      </c>
      <c r="W332">
        <v>492</v>
      </c>
      <c r="X332">
        <v>492</v>
      </c>
      <c r="Y332" s="1">
        <f t="shared" si="10"/>
        <v>0</v>
      </c>
      <c r="Z332" t="str">
        <f t="shared" si="11"/>
        <v/>
      </c>
    </row>
    <row r="333" spans="9:26" x14ac:dyDescent="0.25">
      <c r="I333">
        <v>323</v>
      </c>
      <c r="W333">
        <v>492</v>
      </c>
      <c r="X333">
        <v>492</v>
      </c>
      <c r="Y333" s="1">
        <f t="shared" si="10"/>
        <v>0</v>
      </c>
      <c r="Z333" t="str">
        <f t="shared" si="11"/>
        <v/>
      </c>
    </row>
    <row r="334" spans="9:26" x14ac:dyDescent="0.25">
      <c r="I334">
        <v>324</v>
      </c>
      <c r="W334">
        <v>492</v>
      </c>
      <c r="X334">
        <v>492</v>
      </c>
      <c r="Y334" s="1">
        <f t="shared" si="10"/>
        <v>0</v>
      </c>
      <c r="Z334" t="str">
        <f t="shared" si="11"/>
        <v/>
      </c>
    </row>
    <row r="335" spans="9:26" x14ac:dyDescent="0.25">
      <c r="I335">
        <v>325</v>
      </c>
      <c r="W335">
        <v>492</v>
      </c>
      <c r="X335">
        <v>492</v>
      </c>
      <c r="Y335" s="1">
        <f t="shared" si="10"/>
        <v>0</v>
      </c>
      <c r="Z335" t="str">
        <f t="shared" si="11"/>
        <v/>
      </c>
    </row>
    <row r="336" spans="9:26" x14ac:dyDescent="0.25">
      <c r="I336">
        <v>326</v>
      </c>
      <c r="W336">
        <v>492</v>
      </c>
      <c r="X336">
        <v>492</v>
      </c>
      <c r="Y336" s="1">
        <f t="shared" si="10"/>
        <v>0</v>
      </c>
      <c r="Z336" t="str">
        <f t="shared" si="11"/>
        <v/>
      </c>
    </row>
    <row r="337" spans="9:26" x14ac:dyDescent="0.25">
      <c r="I337">
        <v>327</v>
      </c>
      <c r="W337">
        <v>492</v>
      </c>
      <c r="X337">
        <v>492</v>
      </c>
      <c r="Y337" s="1">
        <f t="shared" si="10"/>
        <v>0</v>
      </c>
      <c r="Z337" t="str">
        <f t="shared" si="11"/>
        <v/>
      </c>
    </row>
    <row r="338" spans="9:26" x14ac:dyDescent="0.25">
      <c r="I338">
        <v>328</v>
      </c>
      <c r="W338">
        <v>492</v>
      </c>
      <c r="X338">
        <v>492</v>
      </c>
      <c r="Y338" s="1">
        <f t="shared" si="10"/>
        <v>0</v>
      </c>
      <c r="Z338" t="str">
        <f t="shared" si="11"/>
        <v/>
      </c>
    </row>
    <row r="339" spans="9:26" x14ac:dyDescent="0.25">
      <c r="I339">
        <v>329</v>
      </c>
      <c r="W339">
        <v>492</v>
      </c>
      <c r="X339">
        <v>492</v>
      </c>
      <c r="Y339" s="1">
        <f t="shared" si="10"/>
        <v>0</v>
      </c>
      <c r="Z339" t="str">
        <f t="shared" si="11"/>
        <v/>
      </c>
    </row>
    <row r="340" spans="9:26" x14ac:dyDescent="0.25">
      <c r="I340">
        <v>330</v>
      </c>
      <c r="W340">
        <v>492</v>
      </c>
      <c r="X340">
        <v>492</v>
      </c>
      <c r="Y340" s="1">
        <f t="shared" si="10"/>
        <v>0</v>
      </c>
      <c r="Z340" t="str">
        <f t="shared" si="11"/>
        <v/>
      </c>
    </row>
    <row r="341" spans="9:26" x14ac:dyDescent="0.25">
      <c r="I341">
        <v>331</v>
      </c>
      <c r="W341">
        <v>492</v>
      </c>
      <c r="X341">
        <v>492</v>
      </c>
      <c r="Y341" s="1">
        <f t="shared" si="10"/>
        <v>0</v>
      </c>
      <c r="Z341" t="str">
        <f t="shared" si="11"/>
        <v/>
      </c>
    </row>
    <row r="342" spans="9:26" x14ac:dyDescent="0.25">
      <c r="I342">
        <v>332</v>
      </c>
      <c r="W342">
        <v>492</v>
      </c>
      <c r="X342">
        <v>492</v>
      </c>
      <c r="Y342" s="1">
        <f t="shared" si="10"/>
        <v>0</v>
      </c>
      <c r="Z342" t="str">
        <f t="shared" si="11"/>
        <v/>
      </c>
    </row>
    <row r="343" spans="9:26" x14ac:dyDescent="0.25">
      <c r="I343">
        <v>333</v>
      </c>
      <c r="W343">
        <v>492</v>
      </c>
      <c r="X343">
        <v>492</v>
      </c>
      <c r="Y343" s="1">
        <f t="shared" si="10"/>
        <v>0</v>
      </c>
      <c r="Z343" t="str">
        <f t="shared" si="11"/>
        <v/>
      </c>
    </row>
    <row r="344" spans="9:26" x14ac:dyDescent="0.25">
      <c r="I344">
        <v>334</v>
      </c>
      <c r="W344">
        <v>492</v>
      </c>
      <c r="X344">
        <v>492</v>
      </c>
      <c r="Y344" s="1">
        <f t="shared" si="10"/>
        <v>0</v>
      </c>
      <c r="Z344" t="str">
        <f t="shared" si="11"/>
        <v/>
      </c>
    </row>
    <row r="345" spans="9:26" x14ac:dyDescent="0.25">
      <c r="I345">
        <v>335</v>
      </c>
      <c r="W345">
        <v>492</v>
      </c>
      <c r="X345">
        <v>492</v>
      </c>
      <c r="Y345" s="1">
        <f t="shared" si="10"/>
        <v>0</v>
      </c>
      <c r="Z345" t="str">
        <f t="shared" si="11"/>
        <v/>
      </c>
    </row>
    <row r="346" spans="9:26" x14ac:dyDescent="0.25">
      <c r="I346">
        <v>336</v>
      </c>
      <c r="W346">
        <v>492</v>
      </c>
      <c r="X346">
        <v>492</v>
      </c>
      <c r="Y346" s="1">
        <f t="shared" si="10"/>
        <v>0</v>
      </c>
      <c r="Z346" t="str">
        <f t="shared" si="11"/>
        <v/>
      </c>
    </row>
    <row r="347" spans="9:26" x14ac:dyDescent="0.25">
      <c r="I347">
        <v>337</v>
      </c>
      <c r="W347">
        <v>492</v>
      </c>
      <c r="X347">
        <v>492</v>
      </c>
      <c r="Y347" s="1">
        <f t="shared" si="10"/>
        <v>0</v>
      </c>
      <c r="Z347" t="str">
        <f t="shared" si="11"/>
        <v/>
      </c>
    </row>
    <row r="348" spans="9:26" x14ac:dyDescent="0.25">
      <c r="I348">
        <v>338</v>
      </c>
      <c r="W348">
        <v>492</v>
      </c>
      <c r="X348">
        <v>492</v>
      </c>
      <c r="Y348" s="1">
        <f t="shared" si="10"/>
        <v>0</v>
      </c>
      <c r="Z348" t="str">
        <f t="shared" si="11"/>
        <v/>
      </c>
    </row>
    <row r="349" spans="9:26" x14ac:dyDescent="0.25">
      <c r="I349">
        <v>339</v>
      </c>
      <c r="W349">
        <v>492</v>
      </c>
      <c r="X349">
        <v>492</v>
      </c>
      <c r="Y349" s="1">
        <f t="shared" si="10"/>
        <v>0</v>
      </c>
      <c r="Z349" t="str">
        <f t="shared" si="11"/>
        <v/>
      </c>
    </row>
    <row r="350" spans="9:26" x14ac:dyDescent="0.25">
      <c r="I350">
        <v>340</v>
      </c>
      <c r="W350">
        <v>492</v>
      </c>
      <c r="X350">
        <v>492</v>
      </c>
      <c r="Y350" s="1">
        <f t="shared" si="10"/>
        <v>0</v>
      </c>
      <c r="Z350" t="str">
        <f t="shared" si="11"/>
        <v/>
      </c>
    </row>
    <row r="351" spans="9:26" x14ac:dyDescent="0.25">
      <c r="I351">
        <v>341</v>
      </c>
      <c r="W351">
        <v>492</v>
      </c>
      <c r="X351">
        <v>492</v>
      </c>
      <c r="Y351" s="1">
        <f t="shared" si="10"/>
        <v>0</v>
      </c>
      <c r="Z351" t="str">
        <f t="shared" si="11"/>
        <v/>
      </c>
    </row>
    <row r="352" spans="9:26" x14ac:dyDescent="0.25">
      <c r="I352">
        <v>342</v>
      </c>
      <c r="W352">
        <v>492</v>
      </c>
      <c r="X352">
        <v>492</v>
      </c>
      <c r="Y352" s="1">
        <f t="shared" si="10"/>
        <v>0</v>
      </c>
      <c r="Z352" t="str">
        <f t="shared" si="11"/>
        <v/>
      </c>
    </row>
    <row r="353" spans="9:9" x14ac:dyDescent="0.25">
      <c r="I353">
        <v>343</v>
      </c>
    </row>
    <row r="354" spans="9:9" x14ac:dyDescent="0.25">
      <c r="I354">
        <v>344</v>
      </c>
    </row>
    <row r="355" spans="9:9" x14ac:dyDescent="0.25">
      <c r="I355">
        <v>345</v>
      </c>
    </row>
    <row r="356" spans="9:9" x14ac:dyDescent="0.25">
      <c r="I356">
        <v>346</v>
      </c>
    </row>
    <row r="357" spans="9:9" x14ac:dyDescent="0.25">
      <c r="I357">
        <v>347</v>
      </c>
    </row>
    <row r="358" spans="9:9" x14ac:dyDescent="0.25">
      <c r="I358">
        <v>348</v>
      </c>
    </row>
    <row r="359" spans="9:9" x14ac:dyDescent="0.25">
      <c r="I359">
        <v>349</v>
      </c>
    </row>
    <row r="360" spans="9:9" x14ac:dyDescent="0.25">
      <c r="I360">
        <v>350</v>
      </c>
    </row>
    <row r="361" spans="9:9" x14ac:dyDescent="0.25">
      <c r="I361">
        <v>351</v>
      </c>
    </row>
    <row r="362" spans="9:9" x14ac:dyDescent="0.25">
      <c r="I362">
        <v>352</v>
      </c>
    </row>
    <row r="363" spans="9:9" x14ac:dyDescent="0.25">
      <c r="I363">
        <v>353</v>
      </c>
    </row>
    <row r="364" spans="9:9" x14ac:dyDescent="0.25">
      <c r="I364">
        <v>354</v>
      </c>
    </row>
    <row r="365" spans="9:9" x14ac:dyDescent="0.25">
      <c r="I365">
        <v>355</v>
      </c>
    </row>
    <row r="366" spans="9:9" x14ac:dyDescent="0.25">
      <c r="I366">
        <v>356</v>
      </c>
    </row>
    <row r="367" spans="9:9" x14ac:dyDescent="0.25">
      <c r="I367">
        <v>357</v>
      </c>
    </row>
    <row r="368" spans="9:9" x14ac:dyDescent="0.25">
      <c r="I368">
        <v>358</v>
      </c>
    </row>
    <row r="369" spans="9:9" x14ac:dyDescent="0.25">
      <c r="I369">
        <v>359</v>
      </c>
    </row>
    <row r="370" spans="9:9" x14ac:dyDescent="0.25">
      <c r="I370">
        <v>360</v>
      </c>
    </row>
    <row r="371" spans="9:9" x14ac:dyDescent="0.25">
      <c r="I371">
        <v>361</v>
      </c>
    </row>
    <row r="372" spans="9:9" x14ac:dyDescent="0.25">
      <c r="I372">
        <v>362</v>
      </c>
    </row>
    <row r="373" spans="9:9" x14ac:dyDescent="0.25">
      <c r="I373">
        <v>363</v>
      </c>
    </row>
    <row r="374" spans="9:9" x14ac:dyDescent="0.25">
      <c r="I374">
        <v>364</v>
      </c>
    </row>
    <row r="375" spans="9:9" x14ac:dyDescent="0.25">
      <c r="I375">
        <v>365</v>
      </c>
    </row>
    <row r="376" spans="9:9" x14ac:dyDescent="0.25">
      <c r="I376">
        <v>366</v>
      </c>
    </row>
    <row r="377" spans="9:9" x14ac:dyDescent="0.25">
      <c r="I377">
        <v>367</v>
      </c>
    </row>
    <row r="378" spans="9:9" x14ac:dyDescent="0.25">
      <c r="I378">
        <v>368</v>
      </c>
    </row>
    <row r="379" spans="9:9" x14ac:dyDescent="0.25">
      <c r="I379">
        <v>369</v>
      </c>
    </row>
    <row r="380" spans="9:9" x14ac:dyDescent="0.25">
      <c r="I380">
        <v>370</v>
      </c>
    </row>
    <row r="381" spans="9:9" x14ac:dyDescent="0.25">
      <c r="I381">
        <v>371</v>
      </c>
    </row>
    <row r="382" spans="9:9" x14ac:dyDescent="0.25">
      <c r="I382">
        <v>372</v>
      </c>
    </row>
    <row r="383" spans="9:9" x14ac:dyDescent="0.25">
      <c r="I383">
        <v>373</v>
      </c>
    </row>
    <row r="384" spans="9:9" x14ac:dyDescent="0.25">
      <c r="I384">
        <v>374</v>
      </c>
    </row>
    <row r="385" spans="9:9" x14ac:dyDescent="0.25">
      <c r="I385">
        <v>375</v>
      </c>
    </row>
    <row r="386" spans="9:9" x14ac:dyDescent="0.25">
      <c r="I386">
        <v>376</v>
      </c>
    </row>
    <row r="387" spans="9:9" x14ac:dyDescent="0.25">
      <c r="I387">
        <v>377</v>
      </c>
    </row>
    <row r="388" spans="9:9" x14ac:dyDescent="0.25">
      <c r="I388">
        <v>378</v>
      </c>
    </row>
    <row r="389" spans="9:9" x14ac:dyDescent="0.25">
      <c r="I389">
        <v>379</v>
      </c>
    </row>
    <row r="390" spans="9:9" x14ac:dyDescent="0.25">
      <c r="I390">
        <v>380</v>
      </c>
    </row>
    <row r="391" spans="9:9" x14ac:dyDescent="0.25">
      <c r="I391">
        <v>381</v>
      </c>
    </row>
    <row r="392" spans="9:9" x14ac:dyDescent="0.25">
      <c r="I392">
        <v>382</v>
      </c>
    </row>
    <row r="393" spans="9:9" x14ac:dyDescent="0.25">
      <c r="I393">
        <v>383</v>
      </c>
    </row>
    <row r="394" spans="9:9" x14ac:dyDescent="0.25">
      <c r="I394">
        <v>384</v>
      </c>
    </row>
    <row r="395" spans="9:9" x14ac:dyDescent="0.25">
      <c r="I395">
        <v>385</v>
      </c>
    </row>
    <row r="396" spans="9:9" x14ac:dyDescent="0.25">
      <c r="I396">
        <v>386</v>
      </c>
    </row>
    <row r="397" spans="9:9" x14ac:dyDescent="0.25">
      <c r="I397">
        <v>387</v>
      </c>
    </row>
    <row r="398" spans="9:9" x14ac:dyDescent="0.25">
      <c r="I398">
        <v>388</v>
      </c>
    </row>
    <row r="399" spans="9:9" x14ac:dyDescent="0.25">
      <c r="I399">
        <v>389</v>
      </c>
    </row>
    <row r="400" spans="9:9" x14ac:dyDescent="0.25">
      <c r="I400">
        <v>390</v>
      </c>
    </row>
    <row r="401" spans="9:9" x14ac:dyDescent="0.25">
      <c r="I401">
        <v>391</v>
      </c>
    </row>
    <row r="402" spans="9:9" x14ac:dyDescent="0.25">
      <c r="I402">
        <v>392</v>
      </c>
    </row>
    <row r="403" spans="9:9" x14ac:dyDescent="0.25">
      <c r="I403">
        <v>393</v>
      </c>
    </row>
    <row r="404" spans="9:9" x14ac:dyDescent="0.25">
      <c r="I404">
        <v>394</v>
      </c>
    </row>
    <row r="405" spans="9:9" x14ac:dyDescent="0.25">
      <c r="I405">
        <v>395</v>
      </c>
    </row>
    <row r="406" spans="9:9" x14ac:dyDescent="0.25">
      <c r="I406">
        <v>396</v>
      </c>
    </row>
    <row r="407" spans="9:9" x14ac:dyDescent="0.25">
      <c r="I407">
        <v>397</v>
      </c>
    </row>
    <row r="408" spans="9:9" x14ac:dyDescent="0.25">
      <c r="I408">
        <v>398</v>
      </c>
    </row>
    <row r="409" spans="9:9" x14ac:dyDescent="0.25">
      <c r="I409">
        <v>399</v>
      </c>
    </row>
    <row r="410" spans="9:9" x14ac:dyDescent="0.25">
      <c r="I410">
        <v>400</v>
      </c>
    </row>
    <row r="411" spans="9:9" x14ac:dyDescent="0.25">
      <c r="I411">
        <v>401</v>
      </c>
    </row>
    <row r="412" spans="9:9" x14ac:dyDescent="0.25">
      <c r="I412">
        <v>402</v>
      </c>
    </row>
    <row r="413" spans="9:9" x14ac:dyDescent="0.25">
      <c r="I413">
        <v>403</v>
      </c>
    </row>
    <row r="414" spans="9:9" x14ac:dyDescent="0.25">
      <c r="I414">
        <v>404</v>
      </c>
    </row>
    <row r="415" spans="9:9" x14ac:dyDescent="0.25">
      <c r="I415">
        <v>405</v>
      </c>
    </row>
    <row r="416" spans="9:9" x14ac:dyDescent="0.25">
      <c r="I416">
        <v>406</v>
      </c>
    </row>
    <row r="417" spans="9:9" x14ac:dyDescent="0.25">
      <c r="I417">
        <v>407</v>
      </c>
    </row>
    <row r="418" spans="9:9" x14ac:dyDescent="0.25">
      <c r="I418">
        <v>408</v>
      </c>
    </row>
    <row r="419" spans="9:9" x14ac:dyDescent="0.25">
      <c r="I419">
        <v>409</v>
      </c>
    </row>
    <row r="420" spans="9:9" x14ac:dyDescent="0.25">
      <c r="I420">
        <v>410</v>
      </c>
    </row>
    <row r="421" spans="9:9" x14ac:dyDescent="0.25">
      <c r="I421">
        <v>411</v>
      </c>
    </row>
    <row r="422" spans="9:9" x14ac:dyDescent="0.25">
      <c r="I422">
        <v>412</v>
      </c>
    </row>
    <row r="423" spans="9:9" x14ac:dyDescent="0.25">
      <c r="I423">
        <v>413</v>
      </c>
    </row>
    <row r="424" spans="9:9" x14ac:dyDescent="0.25">
      <c r="I424">
        <v>414</v>
      </c>
    </row>
    <row r="425" spans="9:9" x14ac:dyDescent="0.25">
      <c r="I425">
        <v>415</v>
      </c>
    </row>
    <row r="426" spans="9:9" x14ac:dyDescent="0.25">
      <c r="I426">
        <v>416</v>
      </c>
    </row>
    <row r="427" spans="9:9" x14ac:dyDescent="0.25">
      <c r="I427">
        <v>417</v>
      </c>
    </row>
    <row r="428" spans="9:9" x14ac:dyDescent="0.25">
      <c r="I428">
        <v>418</v>
      </c>
    </row>
    <row r="429" spans="9:9" x14ac:dyDescent="0.25">
      <c r="I429">
        <v>419</v>
      </c>
    </row>
    <row r="430" spans="9:9" x14ac:dyDescent="0.25">
      <c r="I430">
        <v>420</v>
      </c>
    </row>
    <row r="431" spans="9:9" x14ac:dyDescent="0.25">
      <c r="I431">
        <v>421</v>
      </c>
    </row>
    <row r="432" spans="9:9" x14ac:dyDescent="0.25">
      <c r="I432">
        <v>422</v>
      </c>
    </row>
    <row r="433" spans="9:9" x14ac:dyDescent="0.25">
      <c r="I433">
        <v>423</v>
      </c>
    </row>
    <row r="434" spans="9:9" x14ac:dyDescent="0.25">
      <c r="I434">
        <v>424</v>
      </c>
    </row>
    <row r="435" spans="9:9" x14ac:dyDescent="0.25">
      <c r="I435">
        <v>425</v>
      </c>
    </row>
    <row r="436" spans="9:9" x14ac:dyDescent="0.25">
      <c r="I436">
        <v>426</v>
      </c>
    </row>
    <row r="437" spans="9:9" x14ac:dyDescent="0.25">
      <c r="I437">
        <v>427</v>
      </c>
    </row>
    <row r="438" spans="9:9" x14ac:dyDescent="0.25">
      <c r="I438">
        <v>428</v>
      </c>
    </row>
    <row r="439" spans="9:9" x14ac:dyDescent="0.25">
      <c r="I439">
        <v>429</v>
      </c>
    </row>
    <row r="440" spans="9:9" x14ac:dyDescent="0.25">
      <c r="I440">
        <v>430</v>
      </c>
    </row>
    <row r="441" spans="9:9" x14ac:dyDescent="0.25">
      <c r="I441">
        <v>431</v>
      </c>
    </row>
    <row r="442" spans="9:9" x14ac:dyDescent="0.25">
      <c r="I442">
        <v>432</v>
      </c>
    </row>
    <row r="443" spans="9:9" x14ac:dyDescent="0.25">
      <c r="I443">
        <v>433</v>
      </c>
    </row>
    <row r="444" spans="9:9" x14ac:dyDescent="0.25">
      <c r="I444">
        <v>434</v>
      </c>
    </row>
    <row r="445" spans="9:9" x14ac:dyDescent="0.25">
      <c r="I445">
        <v>435</v>
      </c>
    </row>
    <row r="446" spans="9:9" x14ac:dyDescent="0.25">
      <c r="I446">
        <v>436</v>
      </c>
    </row>
    <row r="447" spans="9:9" x14ac:dyDescent="0.25">
      <c r="I447">
        <v>437</v>
      </c>
    </row>
    <row r="448" spans="9:9" x14ac:dyDescent="0.25">
      <c r="I448">
        <v>438</v>
      </c>
    </row>
    <row r="449" spans="9:9" x14ac:dyDescent="0.25">
      <c r="I449">
        <v>439</v>
      </c>
    </row>
    <row r="450" spans="9:9" x14ac:dyDescent="0.25">
      <c r="I450">
        <v>440</v>
      </c>
    </row>
    <row r="451" spans="9:9" x14ac:dyDescent="0.25">
      <c r="I451">
        <v>441</v>
      </c>
    </row>
    <row r="452" spans="9:9" x14ac:dyDescent="0.25">
      <c r="I452">
        <v>442</v>
      </c>
    </row>
    <row r="453" spans="9:9" x14ac:dyDescent="0.25">
      <c r="I453">
        <v>443</v>
      </c>
    </row>
    <row r="454" spans="9:9" x14ac:dyDescent="0.25">
      <c r="I454">
        <v>444</v>
      </c>
    </row>
    <row r="455" spans="9:9" x14ac:dyDescent="0.25">
      <c r="I455">
        <v>445</v>
      </c>
    </row>
    <row r="456" spans="9:9" x14ac:dyDescent="0.25">
      <c r="I456">
        <v>446</v>
      </c>
    </row>
    <row r="457" spans="9:9" x14ac:dyDescent="0.25">
      <c r="I457">
        <v>447</v>
      </c>
    </row>
    <row r="458" spans="9:9" x14ac:dyDescent="0.25">
      <c r="I458">
        <v>448</v>
      </c>
    </row>
    <row r="459" spans="9:9" x14ac:dyDescent="0.25">
      <c r="I459">
        <v>449</v>
      </c>
    </row>
    <row r="460" spans="9:9" x14ac:dyDescent="0.25">
      <c r="I460">
        <v>450</v>
      </c>
    </row>
    <row r="461" spans="9:9" x14ac:dyDescent="0.25">
      <c r="I461">
        <v>451</v>
      </c>
    </row>
    <row r="462" spans="9:9" x14ac:dyDescent="0.25">
      <c r="I462">
        <v>452</v>
      </c>
    </row>
    <row r="463" spans="9:9" x14ac:dyDescent="0.25">
      <c r="I463">
        <v>453</v>
      </c>
    </row>
    <row r="464" spans="9:9" x14ac:dyDescent="0.25">
      <c r="I464">
        <v>454</v>
      </c>
    </row>
    <row r="465" spans="9:9" x14ac:dyDescent="0.25">
      <c r="I465">
        <v>455</v>
      </c>
    </row>
    <row r="466" spans="9:9" x14ac:dyDescent="0.25">
      <c r="I466">
        <v>456</v>
      </c>
    </row>
    <row r="467" spans="9:9" x14ac:dyDescent="0.25">
      <c r="I467">
        <v>457</v>
      </c>
    </row>
    <row r="468" spans="9:9" x14ac:dyDescent="0.25">
      <c r="I468">
        <v>458</v>
      </c>
    </row>
    <row r="469" spans="9:9" x14ac:dyDescent="0.25">
      <c r="I469">
        <v>459</v>
      </c>
    </row>
    <row r="470" spans="9:9" x14ac:dyDescent="0.25">
      <c r="I470">
        <v>460</v>
      </c>
    </row>
    <row r="471" spans="9:9" x14ac:dyDescent="0.25">
      <c r="I471">
        <v>461</v>
      </c>
    </row>
    <row r="472" spans="9:9" x14ac:dyDescent="0.25">
      <c r="I472">
        <v>462</v>
      </c>
    </row>
    <row r="473" spans="9:9" x14ac:dyDescent="0.25">
      <c r="I473">
        <v>463</v>
      </c>
    </row>
    <row r="474" spans="9:9" x14ac:dyDescent="0.25">
      <c r="I474">
        <v>464</v>
      </c>
    </row>
    <row r="475" spans="9:9" x14ac:dyDescent="0.25">
      <c r="I475">
        <v>465</v>
      </c>
    </row>
    <row r="476" spans="9:9" x14ac:dyDescent="0.25">
      <c r="I476">
        <v>466</v>
      </c>
    </row>
    <row r="477" spans="9:9" x14ac:dyDescent="0.25">
      <c r="I477">
        <v>467</v>
      </c>
    </row>
    <row r="478" spans="9:9" x14ac:dyDescent="0.25">
      <c r="I478">
        <v>468</v>
      </c>
    </row>
    <row r="479" spans="9:9" x14ac:dyDescent="0.25">
      <c r="I479">
        <v>469</v>
      </c>
    </row>
    <row r="480" spans="9:9" x14ac:dyDescent="0.25">
      <c r="I480">
        <v>470</v>
      </c>
    </row>
    <row r="481" spans="9:9" x14ac:dyDescent="0.25">
      <c r="I481">
        <v>471</v>
      </c>
    </row>
    <row r="482" spans="9:9" x14ac:dyDescent="0.25">
      <c r="I482">
        <v>472</v>
      </c>
    </row>
    <row r="483" spans="9:9" x14ac:dyDescent="0.25">
      <c r="I483">
        <v>473</v>
      </c>
    </row>
    <row r="484" spans="9:9" x14ac:dyDescent="0.25">
      <c r="I484">
        <v>474</v>
      </c>
    </row>
    <row r="485" spans="9:9" x14ac:dyDescent="0.25">
      <c r="I485">
        <v>475</v>
      </c>
    </row>
    <row r="486" spans="9:9" x14ac:dyDescent="0.25">
      <c r="I486">
        <v>476</v>
      </c>
    </row>
    <row r="487" spans="9:9" x14ac:dyDescent="0.25">
      <c r="I487">
        <v>477</v>
      </c>
    </row>
    <row r="488" spans="9:9" x14ac:dyDescent="0.25">
      <c r="I488">
        <v>478</v>
      </c>
    </row>
    <row r="489" spans="9:9" x14ac:dyDescent="0.25">
      <c r="I489">
        <v>479</v>
      </c>
    </row>
    <row r="490" spans="9:9" x14ac:dyDescent="0.25">
      <c r="I490">
        <v>480</v>
      </c>
    </row>
    <row r="491" spans="9:9" x14ac:dyDescent="0.25">
      <c r="I491">
        <v>481</v>
      </c>
    </row>
    <row r="492" spans="9:9" x14ac:dyDescent="0.25">
      <c r="I492">
        <v>482</v>
      </c>
    </row>
    <row r="493" spans="9:9" x14ac:dyDescent="0.25">
      <c r="I493">
        <v>483</v>
      </c>
    </row>
    <row r="494" spans="9:9" x14ac:dyDescent="0.25">
      <c r="I494">
        <v>484</v>
      </c>
    </row>
    <row r="495" spans="9:9" x14ac:dyDescent="0.25">
      <c r="I495">
        <v>485</v>
      </c>
    </row>
    <row r="496" spans="9:9" x14ac:dyDescent="0.25">
      <c r="I496">
        <v>486</v>
      </c>
    </row>
    <row r="497" spans="9:9" x14ac:dyDescent="0.25">
      <c r="I497">
        <v>487</v>
      </c>
    </row>
    <row r="498" spans="9:9" x14ac:dyDescent="0.25">
      <c r="I498">
        <v>488</v>
      </c>
    </row>
    <row r="499" spans="9:9" x14ac:dyDescent="0.25">
      <c r="I499">
        <v>489</v>
      </c>
    </row>
    <row r="500" spans="9:9" x14ac:dyDescent="0.25">
      <c r="I500">
        <v>490</v>
      </c>
    </row>
    <row r="501" spans="9:9" x14ac:dyDescent="0.25">
      <c r="I501">
        <v>491</v>
      </c>
    </row>
    <row r="502" spans="9:9" x14ac:dyDescent="0.25">
      <c r="I502">
        <v>492</v>
      </c>
    </row>
    <row r="503" spans="9:9" x14ac:dyDescent="0.25">
      <c r="I503">
        <v>493</v>
      </c>
    </row>
    <row r="504" spans="9:9" x14ac:dyDescent="0.25">
      <c r="I504">
        <v>494</v>
      </c>
    </row>
    <row r="505" spans="9:9" x14ac:dyDescent="0.25">
      <c r="I505">
        <v>495</v>
      </c>
    </row>
    <row r="506" spans="9:9" x14ac:dyDescent="0.25">
      <c r="I506">
        <v>496</v>
      </c>
    </row>
    <row r="507" spans="9:9" x14ac:dyDescent="0.25">
      <c r="I507">
        <v>497</v>
      </c>
    </row>
    <row r="508" spans="9:9" x14ac:dyDescent="0.25">
      <c r="I508">
        <v>498</v>
      </c>
    </row>
    <row r="509" spans="9:9" x14ac:dyDescent="0.25">
      <c r="I509">
        <v>499</v>
      </c>
    </row>
    <row r="510" spans="9:9" x14ac:dyDescent="0.25">
      <c r="I510">
        <v>500</v>
      </c>
    </row>
    <row r="511" spans="9:9" x14ac:dyDescent="0.25">
      <c r="I511">
        <v>501</v>
      </c>
    </row>
    <row r="512" spans="9:9" x14ac:dyDescent="0.25">
      <c r="I512">
        <v>502</v>
      </c>
    </row>
    <row r="513" spans="9:9" x14ac:dyDescent="0.25">
      <c r="I513">
        <v>503</v>
      </c>
    </row>
    <row r="514" spans="9:9" x14ac:dyDescent="0.25">
      <c r="I514">
        <v>504</v>
      </c>
    </row>
    <row r="515" spans="9:9" x14ac:dyDescent="0.25">
      <c r="I515">
        <v>505</v>
      </c>
    </row>
    <row r="516" spans="9:9" x14ac:dyDescent="0.25">
      <c r="I516">
        <v>506</v>
      </c>
    </row>
    <row r="517" spans="9:9" x14ac:dyDescent="0.25">
      <c r="I517">
        <v>507</v>
      </c>
    </row>
    <row r="518" spans="9:9" x14ac:dyDescent="0.25">
      <c r="I518">
        <v>508</v>
      </c>
    </row>
    <row r="519" spans="9:9" x14ac:dyDescent="0.25">
      <c r="I519">
        <v>509</v>
      </c>
    </row>
    <row r="520" spans="9:9" x14ac:dyDescent="0.25">
      <c r="I520">
        <v>510</v>
      </c>
    </row>
    <row r="521" spans="9:9" x14ac:dyDescent="0.25">
      <c r="I521">
        <v>511</v>
      </c>
    </row>
    <row r="522" spans="9:9" x14ac:dyDescent="0.25">
      <c r="I522">
        <v>512</v>
      </c>
    </row>
    <row r="523" spans="9:9" x14ac:dyDescent="0.25">
      <c r="I523">
        <v>513</v>
      </c>
    </row>
    <row r="524" spans="9:9" x14ac:dyDescent="0.25">
      <c r="I524">
        <v>514</v>
      </c>
    </row>
    <row r="525" spans="9:9" x14ac:dyDescent="0.25">
      <c r="I525">
        <v>515</v>
      </c>
    </row>
    <row r="526" spans="9:9" x14ac:dyDescent="0.25">
      <c r="I526">
        <v>516</v>
      </c>
    </row>
    <row r="527" spans="9:9" x14ac:dyDescent="0.25">
      <c r="I527">
        <v>517</v>
      </c>
    </row>
    <row r="528" spans="9:9" x14ac:dyDescent="0.25">
      <c r="I528">
        <v>518</v>
      </c>
    </row>
    <row r="529" spans="9:9" x14ac:dyDescent="0.25">
      <c r="I529">
        <v>519</v>
      </c>
    </row>
    <row r="530" spans="9:9" x14ac:dyDescent="0.25">
      <c r="I530">
        <v>520</v>
      </c>
    </row>
    <row r="531" spans="9:9" x14ac:dyDescent="0.25">
      <c r="I531">
        <v>521</v>
      </c>
    </row>
    <row r="532" spans="9:9" x14ac:dyDescent="0.25">
      <c r="I532">
        <v>522</v>
      </c>
    </row>
    <row r="533" spans="9:9" x14ac:dyDescent="0.25">
      <c r="I533">
        <v>523</v>
      </c>
    </row>
    <row r="534" spans="9:9" x14ac:dyDescent="0.25">
      <c r="I534">
        <v>524</v>
      </c>
    </row>
    <row r="535" spans="9:9" x14ac:dyDescent="0.25">
      <c r="I535">
        <v>525</v>
      </c>
    </row>
    <row r="536" spans="9:9" x14ac:dyDescent="0.25">
      <c r="I536">
        <v>526</v>
      </c>
    </row>
    <row r="537" spans="9:9" x14ac:dyDescent="0.25">
      <c r="I537">
        <v>527</v>
      </c>
    </row>
    <row r="538" spans="9:9" x14ac:dyDescent="0.25">
      <c r="I538">
        <v>528</v>
      </c>
    </row>
    <row r="539" spans="9:9" x14ac:dyDescent="0.25">
      <c r="I539">
        <v>529</v>
      </c>
    </row>
    <row r="540" spans="9:9" x14ac:dyDescent="0.25">
      <c r="I540">
        <v>530</v>
      </c>
    </row>
    <row r="541" spans="9:9" x14ac:dyDescent="0.25">
      <c r="I541">
        <v>531</v>
      </c>
    </row>
    <row r="542" spans="9:9" x14ac:dyDescent="0.25">
      <c r="I542">
        <v>532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2">
                <anchor moveWithCells="1" sizeWithCells="1">
                  <from>
                    <xdr:col>5</xdr:col>
                    <xdr:colOff>409575</xdr:colOff>
                    <xdr:row>1</xdr:row>
                    <xdr:rowOff>47625</xdr:rowOff>
                  </from>
                  <to>
                    <xdr:col>9</xdr:col>
                    <xdr:colOff>409575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2023-04-13T08:29:34Z</dcterms:modified>
</cp:coreProperties>
</file>